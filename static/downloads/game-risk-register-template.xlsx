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Risk register" sheetId="2" state="visible" r:id="rId2"/>
    <sheet xmlns:r="http://schemas.openxmlformats.org/officeDocument/2006/relationships" name="Heat map" sheetId="3" state="visible" r:id="rId3"/>
  </sheets>
  <definedNames>
    <definedName name="_xlnm._FilterDatabase" localSheetId="1" hidden="1">'Risk register'!$A$4:$O$104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2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E293B"/>
      <sz val="14"/>
    </font>
    <font>
      <b val="1"/>
    </font>
    <font>
      <b val="1"/>
      <sz val="13"/>
    </font>
    <font>
      <name val="Calibri"/>
      <b val="1"/>
      <color rgb="001E293B"/>
      <sz val="18"/>
    </font>
    <font>
      <i val="1"/>
      <color rgb="00475569"/>
    </font>
    <font>
      <b val="1"/>
      <color rgb="001E293B"/>
      <sz val="13"/>
    </font>
    <font>
      <color rgb="004338CA"/>
      <u val="single"/>
    </font>
  </fonts>
  <fills count="6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top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b val="1"/>
        <color rgb="00991B1B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Game Development Risk Register</t>
        </is>
      </c>
    </row>
    <row r="2">
      <c r="A2" s="2" t="inlineStr">
        <is>
          <t>A free template from GameDevProducer.com. Use it to name, score, own and review the risks on your project.</t>
        </is>
      </c>
    </row>
    <row r="3">
      <c r="A3" s="3" t="inlineStr"/>
    </row>
    <row r="4">
      <c r="A4" s="4" t="inlineStr">
        <is>
          <t>How to fill it in</t>
        </is>
      </c>
    </row>
    <row r="5">
      <c r="A5" s="3" t="inlineStr">
        <is>
          <t>1. Write each risk as something that could happen, not a worry: "the netcode engineer leaves", not "staffing".</t>
        </is>
      </c>
    </row>
    <row r="6">
      <c r="A6" s="3" t="inlineStr">
        <is>
          <t>2. Score probability and impact from 1 (low) to 5 (high). Score and rating calculate automatically: 15 to 25 is High, 8 to 14 Medium, 1 to 7 Low.</t>
        </is>
      </c>
    </row>
    <row r="7">
      <c r="A7" s="3" t="inlineStr">
        <is>
          <t>3. Give every risk one named owner. A risk owned by "the team" is owned by nobody.</t>
        </is>
      </c>
    </row>
    <row r="8">
      <c r="A8" s="3" t="inlineStr">
        <is>
          <t>4. Write the early warning sign: the observable signal that the risk is starting to happen.</t>
        </is>
      </c>
    </row>
    <row r="9">
      <c r="A9" s="3" t="inlineStr">
        <is>
          <t>5. Mitigation is what you do now to make it less likely or less damaging. Contingency is the plan if it happens anyway.</t>
        </is>
      </c>
    </row>
    <row r="10">
      <c r="A10" s="3" t="inlineStr">
        <is>
          <t>6. Review the register on a fixed cadence, weekly or at every sprint review. Escalate anything rated High.</t>
        </is>
      </c>
    </row>
    <row r="11">
      <c r="A11" s="3" t="inlineStr">
        <is>
          <t>7. Delete the six EXAMPLE rows when you add your own.</t>
        </is>
      </c>
    </row>
    <row r="12">
      <c r="A12" s="3" t="inlineStr"/>
    </row>
    <row r="13">
      <c r="A13" s="4" t="inlineStr">
        <is>
          <t>Tips</t>
        </is>
      </c>
    </row>
    <row r="14">
      <c r="A14" s="3" t="inlineStr">
        <is>
          <t>Build the register with the team, not alone: the people doing the work see risks the producer cannot.</t>
        </is>
      </c>
    </row>
    <row r="15">
      <c r="A15" s="3" t="inlineStr">
        <is>
          <t>Seed it from your last postmortem. The risks that hurt your last project usually reappear in the next one under new names.</t>
        </is>
      </c>
    </row>
    <row r="16">
      <c r="A16" s="3" t="inlineStr">
        <is>
          <t>The Heat map sheet counts open risks by probability and impact so you can see where the danger is concentrated.</t>
        </is>
      </c>
    </row>
    <row r="17">
      <c r="A17" s="3" t="inlineStr"/>
    </row>
    <row r="18">
      <c r="A18" s="5" t="inlineStr">
        <is>
          <t>More: GameDevProducer.com/posts/risk-register-template-for-game-development/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2" customWidth="1" min="2" max="2"/>
    <col width="16" customWidth="1" min="3" max="3"/>
    <col width="13" customWidth="1" min="4" max="4"/>
    <col width="12" customWidth="1" min="5" max="5"/>
    <col width="9" customWidth="1" min="6" max="6"/>
    <col width="11" customWidth="1" min="7" max="7"/>
    <col width="16" customWidth="1" min="8" max="8"/>
    <col width="30" customWidth="1" min="9" max="9"/>
    <col width="36" customWidth="1" min="10" max="10"/>
    <col width="36" customWidth="1" min="11" max="11"/>
    <col width="13" customWidth="1" min="12" max="12"/>
    <col width="13" customWidth="1" min="13" max="13"/>
    <col width="13" customWidth="1" min="14" max="14"/>
    <col width="30" customWidth="1" min="15" max="15"/>
  </cols>
  <sheetData>
    <row r="1">
      <c r="A1" s="6" t="inlineStr">
        <is>
          <t>Game Development Risk Register</t>
        </is>
      </c>
    </row>
    <row r="2">
      <c r="A2" s="7" t="inlineStr">
        <is>
          <t>Project: ____________    Producer: ____________    Review cadence: weekly or at every sprint review.    Template from GameDevProducer.com. Replace the example rows with your own risks.</t>
        </is>
      </c>
    </row>
    <row r="4" ht="32" customHeight="1">
      <c r="A4" s="8" t="inlineStr">
        <is>
          <t>ID</t>
        </is>
      </c>
      <c r="B4" s="8" t="inlineStr">
        <is>
          <t>Risk: what could happen</t>
        </is>
      </c>
      <c r="C4" s="8" t="inlineStr">
        <is>
          <t>Category</t>
        </is>
      </c>
      <c r="D4" s="8" t="inlineStr">
        <is>
          <t>Probability (1-5)</t>
        </is>
      </c>
      <c r="E4" s="8" t="inlineStr">
        <is>
          <t>Impact (1-5)</t>
        </is>
      </c>
      <c r="F4" s="8" t="inlineStr">
        <is>
          <t>Score</t>
        </is>
      </c>
      <c r="G4" s="8" t="inlineStr">
        <is>
          <t>Rating</t>
        </is>
      </c>
      <c r="H4" s="8" t="inlineStr">
        <is>
          <t>Owner</t>
        </is>
      </c>
      <c r="I4" s="8" t="inlineStr">
        <is>
          <t>Early warning sign</t>
        </is>
      </c>
      <c r="J4" s="8" t="inlineStr">
        <is>
          <t>Mitigation (before it happens)</t>
        </is>
      </c>
      <c r="K4" s="8" t="inlineStr">
        <is>
          <t>Contingency (if it happens)</t>
        </is>
      </c>
      <c r="L4" s="8" t="inlineStr">
        <is>
          <t>Status</t>
        </is>
      </c>
      <c r="M4" s="8" t="inlineStr">
        <is>
          <t>Date raised</t>
        </is>
      </c>
      <c r="N4" s="8" t="inlineStr">
        <is>
          <t>Last reviewed</t>
        </is>
      </c>
      <c r="O4" s="8" t="inlineStr">
        <is>
          <t>Notes</t>
        </is>
      </c>
    </row>
    <row r="5">
      <c r="A5" s="9" t="inlineStr">
        <is>
          <t>R-01</t>
        </is>
      </c>
      <c r="B5" s="10" t="inlineStr">
        <is>
          <t>EXAMPLE: The only engineer who understands the netcode leaves or is out for weeks</t>
        </is>
      </c>
      <c r="C5" s="10" t="inlineStr">
        <is>
          <t>Team</t>
        </is>
      </c>
      <c r="D5" s="9" t="n">
        <v>3</v>
      </c>
      <c r="E5" s="9" t="n">
        <v>5</v>
      </c>
      <c r="F5" s="9">
        <f>IF(AND(D5&lt;&gt;"",E5&lt;&gt;""),D5*E5,"")</f>
        <v/>
      </c>
      <c r="G5" s="9">
        <f>IF(F5="","",IF(F5&gt;=15,"High",IF(F5&gt;=8,"Medium","Low")))</f>
        <v/>
      </c>
      <c r="H5" s="10" t="inlineStr">
        <is>
          <t>Lead engineer</t>
        </is>
      </c>
      <c r="I5" s="10" t="inlineStr">
        <is>
          <t>Netcode tickets only ever assigned to one person</t>
        </is>
      </c>
      <c r="J5" s="10" t="inlineStr">
        <is>
          <t>Pair a second engineer on netcode; document the architecture; record walkthroughs</t>
        </is>
      </c>
      <c r="K5" s="10" t="inlineStr">
        <is>
          <t>Shortlist contractors with netcode experience; re-plan dependent milestones</t>
        </is>
      </c>
      <c r="L5" s="9" t="inlineStr">
        <is>
          <t>Mitigating</t>
        </is>
      </c>
      <c r="M5" s="11" t="n"/>
      <c r="N5" s="11" t="n"/>
      <c r="O5" s="10" t="n"/>
    </row>
    <row r="6">
      <c r="A6" s="9" t="inlineStr">
        <is>
          <t>R-02</t>
        </is>
      </c>
      <c r="B6" s="10" t="inlineStr">
        <is>
          <t>EXAMPLE: Console certification fails on first submission</t>
        </is>
      </c>
      <c r="C6" s="10" t="inlineStr">
        <is>
          <t>External / platform</t>
        </is>
      </c>
      <c r="D6" s="9" t="n">
        <v>3</v>
      </c>
      <c r="E6" s="9" t="n">
        <v>4</v>
      </c>
      <c r="F6" s="9">
        <f>IF(AND(D6&lt;&gt;"",E6&lt;&gt;""),D6*E6,"")</f>
        <v/>
      </c>
      <c r="G6" s="9">
        <f>IF(F6="","",IF(F6&gt;=15,"High",IF(F6&gt;=8,"Medium","Low")))</f>
        <v/>
      </c>
      <c r="H6" s="10" t="inlineStr">
        <is>
          <t>QA lead</t>
        </is>
      </c>
      <c r="I6" s="10" t="inlineStr">
        <is>
          <t>Pre-cert pass finds more than a handful of requirement failures</t>
        </is>
      </c>
      <c r="J6" s="10" t="inlineStr">
        <is>
          <t>Map every platform requirement to an owner; run an internal pre-cert pass</t>
        </is>
      </c>
      <c r="K6" s="10" t="inlineStr">
        <is>
          <t>Hold resubmission time in the schedule before the release date</t>
        </is>
      </c>
      <c r="L6" s="9" t="inlineStr">
        <is>
          <t>Open</t>
        </is>
      </c>
      <c r="M6" s="11" t="n"/>
      <c r="N6" s="11" t="n"/>
      <c r="O6" s="10" t="n"/>
    </row>
    <row r="7">
      <c r="A7" s="9" t="inlineStr">
        <is>
          <t>R-03</t>
        </is>
      </c>
      <c r="B7" s="10" t="inlineStr">
        <is>
          <t>EXAMPLE: Scope grows during production without the schedule changing</t>
        </is>
      </c>
      <c r="C7" s="10" t="inlineStr">
        <is>
          <t>Scope</t>
        </is>
      </c>
      <c r="D7" s="9" t="n">
        <v>4</v>
      </c>
      <c r="E7" s="9" t="n">
        <v>4</v>
      </c>
      <c r="F7" s="9">
        <f>IF(AND(D7&lt;&gt;"",E7&lt;&gt;""),D7*E7,"")</f>
        <v/>
      </c>
      <c r="G7" s="9">
        <f>IF(F7="","",IF(F7&gt;=15,"High",IF(F7&gt;=8,"Medium","Low")))</f>
        <v/>
      </c>
      <c r="H7" s="10" t="inlineStr">
        <is>
          <t>Producer</t>
        </is>
      </c>
      <c r="I7" s="10" t="inlineStr">
        <is>
          <t>Velocity flat while backlog grows sprint over sprint</t>
        </is>
      </c>
      <c r="J7" s="10" t="inlineStr">
        <is>
          <t>Change process: new work in means existing work out, with the cost shown</t>
        </is>
      </c>
      <c r="K7" s="10" t="inlineStr">
        <is>
          <t>Cut list agreed in advance, ranked by player impact</t>
        </is>
      </c>
      <c r="L7" s="9" t="inlineStr">
        <is>
          <t>Monitoring</t>
        </is>
      </c>
      <c r="M7" s="11" t="n"/>
      <c r="N7" s="11" t="n"/>
      <c r="O7" s="10" t="n"/>
    </row>
    <row r="8">
      <c r="A8" s="9" t="inlineStr">
        <is>
          <t>R-04</t>
        </is>
      </c>
      <c r="B8" s="10" t="inlineStr">
        <is>
          <t>EXAMPLE: An engine upgrade breaks the build pipeline mid-milestone</t>
        </is>
      </c>
      <c r="C8" s="10" t="inlineStr">
        <is>
          <t>Technical</t>
        </is>
      </c>
      <c r="D8" s="9" t="n">
        <v>2</v>
      </c>
      <c r="E8" s="9" t="n">
        <v>3</v>
      </c>
      <c r="F8" s="9">
        <f>IF(AND(D8&lt;&gt;"",E8&lt;&gt;""),D8*E8,"")</f>
        <v/>
      </c>
      <c r="G8" s="9">
        <f>IF(F8="","",IF(F8&gt;=15,"High",IF(F8&gt;=8,"Medium","Low")))</f>
        <v/>
      </c>
      <c r="H8" s="10" t="inlineStr">
        <is>
          <t>Build engineer</t>
        </is>
      </c>
      <c r="I8" s="10" t="inlineStr">
        <is>
          <t>Upgrade branch fails nightly builds</t>
        </is>
      </c>
      <c r="J8" s="10" t="inlineStr">
        <is>
          <t>Upgrade on a branch at the start of a milestone, never near a gate</t>
        </is>
      </c>
      <c r="K8" s="10" t="inlineStr">
        <is>
          <t>Roll back to the previous engine version; defer the upgrade</t>
        </is>
      </c>
      <c r="L8" s="9" t="inlineStr">
        <is>
          <t>Open</t>
        </is>
      </c>
      <c r="M8" s="11" t="n"/>
      <c r="N8" s="11" t="n"/>
      <c r="O8" s="10" t="n"/>
    </row>
    <row r="9">
      <c r="A9" s="9" t="inlineStr">
        <is>
          <t>R-05</t>
        </is>
      </c>
      <c r="B9" s="10" t="inlineStr">
        <is>
          <t>EXAMPLE: Steam Next Fest demo not ready by the registration deadline</t>
        </is>
      </c>
      <c r="C9" s="10" t="inlineStr">
        <is>
          <t>Schedule</t>
        </is>
      </c>
      <c r="D9" s="9" t="n">
        <v>2</v>
      </c>
      <c r="E9" s="9" t="n">
        <v>4</v>
      </c>
      <c r="F9" s="9">
        <f>IF(AND(D9&lt;&gt;"",E9&lt;&gt;""),D9*E9,"")</f>
        <v/>
      </c>
      <c r="G9" s="9">
        <f>IF(F9="","",IF(F9&gt;=15,"High",IF(F9&gt;=8,"Medium","Low")))</f>
        <v/>
      </c>
      <c r="H9" s="10" t="inlineStr">
        <is>
          <t>Producer</t>
        </is>
      </c>
      <c r="I9" s="10" t="inlineStr">
        <is>
          <t>Demo slice still missing core loop four weeks before the deadline</t>
        </is>
      </c>
      <c r="J9" s="10" t="inlineStr">
        <is>
          <t>Lock demo scope early; treat the deadline as a milestone</t>
        </is>
      </c>
      <c r="K9" s="10" t="inlineStr">
        <is>
          <t>Target the following Next Fest; reallocate the marketing plan</t>
        </is>
      </c>
      <c r="L9" s="9" t="inlineStr">
        <is>
          <t>Open</t>
        </is>
      </c>
      <c r="M9" s="11" t="n"/>
      <c r="N9" s="11" t="n"/>
      <c r="O9" s="10" t="n"/>
    </row>
    <row r="10">
      <c r="A10" s="9" t="inlineStr">
        <is>
          <t>R-06</t>
        </is>
      </c>
      <c r="B10" s="10" t="inlineStr">
        <is>
          <t>EXAMPLE: Live event content is late for the season start</t>
        </is>
      </c>
      <c r="C10" s="10" t="inlineStr">
        <is>
          <t>Live ops</t>
        </is>
      </c>
      <c r="D10" s="9" t="n">
        <v>3</v>
      </c>
      <c r="E10" s="9" t="n">
        <v>4</v>
      </c>
      <c r="F10" s="9">
        <f>IF(AND(D10&lt;&gt;"",E10&lt;&gt;""),D10*E10,"")</f>
        <v/>
      </c>
      <c r="G10" s="9">
        <f>IF(F10="","",IF(F10&gt;=15,"High",IF(F10&gt;=8,"Medium","Low")))</f>
        <v/>
      </c>
      <c r="H10" s="10" t="inlineStr">
        <is>
          <t>Live ops producer</t>
        </is>
      </c>
      <c r="I10" s="10" t="inlineStr">
        <is>
          <t>Content not in final review two weeks before the season</t>
        </is>
      </c>
      <c r="J10" s="10" t="inlineStr">
        <is>
          <t>Season content one beat ahead; buffer before every season start</t>
        </is>
      </c>
      <c r="K10" s="10" t="inlineStr">
        <is>
          <t>Ship the event with a smaller content drop; move extra items to mid-season</t>
        </is>
      </c>
      <c r="L10" s="9" t="inlineStr">
        <is>
          <t>Open</t>
        </is>
      </c>
      <c r="M10" s="11" t="n"/>
      <c r="N10" s="11" t="n"/>
      <c r="O10" s="10" t="n"/>
    </row>
    <row r="11">
      <c r="A11" s="9" t="n"/>
      <c r="B11" s="10" t="n"/>
      <c r="C11" s="10" t="n"/>
      <c r="D11" s="9" t="n"/>
      <c r="E11" s="9" t="n"/>
      <c r="F11" s="9">
        <f>IF(AND(D11&lt;&gt;"",E11&lt;&gt;""),D11*E11,"")</f>
        <v/>
      </c>
      <c r="G11" s="9">
        <f>IF(F11="","",IF(F11&gt;=15,"High",IF(F11&gt;=8,"Medium","Low")))</f>
        <v/>
      </c>
      <c r="H11" s="10" t="n"/>
      <c r="I11" s="10" t="n"/>
      <c r="J11" s="10" t="n"/>
      <c r="K11" s="10" t="n"/>
      <c r="L11" s="9" t="n"/>
      <c r="M11" s="11" t="n"/>
      <c r="N11" s="11" t="n"/>
      <c r="O11" s="10" t="n"/>
    </row>
    <row r="12">
      <c r="A12" s="9" t="n"/>
      <c r="B12" s="10" t="n"/>
      <c r="C12" s="10" t="n"/>
      <c r="D12" s="9" t="n"/>
      <c r="E12" s="9" t="n"/>
      <c r="F12" s="9">
        <f>IF(AND(D12&lt;&gt;"",E12&lt;&gt;""),D12*E12,"")</f>
        <v/>
      </c>
      <c r="G12" s="9">
        <f>IF(F12="","",IF(F12&gt;=15,"High",IF(F12&gt;=8,"Medium","Low")))</f>
        <v/>
      </c>
      <c r="H12" s="10" t="n"/>
      <c r="I12" s="10" t="n"/>
      <c r="J12" s="10" t="n"/>
      <c r="K12" s="10" t="n"/>
      <c r="L12" s="9" t="n"/>
      <c r="M12" s="11" t="n"/>
      <c r="N12" s="11" t="n"/>
      <c r="O12" s="10" t="n"/>
    </row>
    <row r="13">
      <c r="A13" s="9" t="n"/>
      <c r="B13" s="10" t="n"/>
      <c r="C13" s="10" t="n"/>
      <c r="D13" s="9" t="n"/>
      <c r="E13" s="9" t="n"/>
      <c r="F13" s="9">
        <f>IF(AND(D13&lt;&gt;"",E13&lt;&gt;""),D13*E13,"")</f>
        <v/>
      </c>
      <c r="G13" s="9">
        <f>IF(F13="","",IF(F13&gt;=15,"High",IF(F13&gt;=8,"Medium","Low")))</f>
        <v/>
      </c>
      <c r="H13" s="10" t="n"/>
      <c r="I13" s="10" t="n"/>
      <c r="J13" s="10" t="n"/>
      <c r="K13" s="10" t="n"/>
      <c r="L13" s="9" t="n"/>
      <c r="M13" s="11" t="n"/>
      <c r="N13" s="11" t="n"/>
      <c r="O13" s="10" t="n"/>
    </row>
    <row r="14">
      <c r="A14" s="9" t="n"/>
      <c r="B14" s="10" t="n"/>
      <c r="C14" s="10" t="n"/>
      <c r="D14" s="9" t="n"/>
      <c r="E14" s="9" t="n"/>
      <c r="F14" s="9">
        <f>IF(AND(D14&lt;&gt;"",E14&lt;&gt;""),D14*E14,"")</f>
        <v/>
      </c>
      <c r="G14" s="9">
        <f>IF(F14="","",IF(F14&gt;=15,"High",IF(F14&gt;=8,"Medium","Low")))</f>
        <v/>
      </c>
      <c r="H14" s="10" t="n"/>
      <c r="I14" s="10" t="n"/>
      <c r="J14" s="10" t="n"/>
      <c r="K14" s="10" t="n"/>
      <c r="L14" s="9" t="n"/>
      <c r="M14" s="11" t="n"/>
      <c r="N14" s="11" t="n"/>
      <c r="O14" s="10" t="n"/>
    </row>
    <row r="15">
      <c r="A15" s="9" t="n"/>
      <c r="B15" s="10" t="n"/>
      <c r="C15" s="10" t="n"/>
      <c r="D15" s="9" t="n"/>
      <c r="E15" s="9" t="n"/>
      <c r="F15" s="9">
        <f>IF(AND(D15&lt;&gt;"",E15&lt;&gt;""),D15*E15,"")</f>
        <v/>
      </c>
      <c r="G15" s="9">
        <f>IF(F15="","",IF(F15&gt;=15,"High",IF(F15&gt;=8,"Medium","Low")))</f>
        <v/>
      </c>
      <c r="H15" s="10" t="n"/>
      <c r="I15" s="10" t="n"/>
      <c r="J15" s="10" t="n"/>
      <c r="K15" s="10" t="n"/>
      <c r="L15" s="9" t="n"/>
      <c r="M15" s="11" t="n"/>
      <c r="N15" s="11" t="n"/>
      <c r="O15" s="10" t="n"/>
    </row>
    <row r="16">
      <c r="A16" s="9" t="n"/>
      <c r="B16" s="10" t="n"/>
      <c r="C16" s="10" t="n"/>
      <c r="D16" s="9" t="n"/>
      <c r="E16" s="9" t="n"/>
      <c r="F16" s="9">
        <f>IF(AND(D16&lt;&gt;"",E16&lt;&gt;""),D16*E16,"")</f>
        <v/>
      </c>
      <c r="G16" s="9">
        <f>IF(F16="","",IF(F16&gt;=15,"High",IF(F16&gt;=8,"Medium","Low")))</f>
        <v/>
      </c>
      <c r="H16" s="10" t="n"/>
      <c r="I16" s="10" t="n"/>
      <c r="J16" s="10" t="n"/>
      <c r="K16" s="10" t="n"/>
      <c r="L16" s="9" t="n"/>
      <c r="M16" s="11" t="n"/>
      <c r="N16" s="11" t="n"/>
      <c r="O16" s="10" t="n"/>
    </row>
    <row r="17">
      <c r="A17" s="9" t="n"/>
      <c r="B17" s="10" t="n"/>
      <c r="C17" s="10" t="n"/>
      <c r="D17" s="9" t="n"/>
      <c r="E17" s="9" t="n"/>
      <c r="F17" s="9">
        <f>IF(AND(D17&lt;&gt;"",E17&lt;&gt;""),D17*E17,"")</f>
        <v/>
      </c>
      <c r="G17" s="9">
        <f>IF(F17="","",IF(F17&gt;=15,"High",IF(F17&gt;=8,"Medium","Low")))</f>
        <v/>
      </c>
      <c r="H17" s="10" t="n"/>
      <c r="I17" s="10" t="n"/>
      <c r="J17" s="10" t="n"/>
      <c r="K17" s="10" t="n"/>
      <c r="L17" s="9" t="n"/>
      <c r="M17" s="11" t="n"/>
      <c r="N17" s="11" t="n"/>
      <c r="O17" s="10" t="n"/>
    </row>
    <row r="18">
      <c r="A18" s="9" t="n"/>
      <c r="B18" s="10" t="n"/>
      <c r="C18" s="10" t="n"/>
      <c r="D18" s="9" t="n"/>
      <c r="E18" s="9" t="n"/>
      <c r="F18" s="9">
        <f>IF(AND(D18&lt;&gt;"",E18&lt;&gt;""),D18*E18,"")</f>
        <v/>
      </c>
      <c r="G18" s="9">
        <f>IF(F18="","",IF(F18&gt;=15,"High",IF(F18&gt;=8,"Medium","Low")))</f>
        <v/>
      </c>
      <c r="H18" s="10" t="n"/>
      <c r="I18" s="10" t="n"/>
      <c r="J18" s="10" t="n"/>
      <c r="K18" s="10" t="n"/>
      <c r="L18" s="9" t="n"/>
      <c r="M18" s="11" t="n"/>
      <c r="N18" s="11" t="n"/>
      <c r="O18" s="10" t="n"/>
    </row>
    <row r="19">
      <c r="A19" s="9" t="n"/>
      <c r="B19" s="10" t="n"/>
      <c r="C19" s="10" t="n"/>
      <c r="D19" s="9" t="n"/>
      <c r="E19" s="9" t="n"/>
      <c r="F19" s="9">
        <f>IF(AND(D19&lt;&gt;"",E19&lt;&gt;""),D19*E19,"")</f>
        <v/>
      </c>
      <c r="G19" s="9">
        <f>IF(F19="","",IF(F19&gt;=15,"High",IF(F19&gt;=8,"Medium","Low")))</f>
        <v/>
      </c>
      <c r="H19" s="10" t="n"/>
      <c r="I19" s="10" t="n"/>
      <c r="J19" s="10" t="n"/>
      <c r="K19" s="10" t="n"/>
      <c r="L19" s="9" t="n"/>
      <c r="M19" s="11" t="n"/>
      <c r="N19" s="11" t="n"/>
      <c r="O19" s="10" t="n"/>
    </row>
    <row r="20">
      <c r="A20" s="9" t="n"/>
      <c r="B20" s="10" t="n"/>
      <c r="C20" s="10" t="n"/>
      <c r="D20" s="9" t="n"/>
      <c r="E20" s="9" t="n"/>
      <c r="F20" s="9">
        <f>IF(AND(D20&lt;&gt;"",E20&lt;&gt;""),D20*E20,"")</f>
        <v/>
      </c>
      <c r="G20" s="9">
        <f>IF(F20="","",IF(F20&gt;=15,"High",IF(F20&gt;=8,"Medium","Low")))</f>
        <v/>
      </c>
      <c r="H20" s="10" t="n"/>
      <c r="I20" s="10" t="n"/>
      <c r="J20" s="10" t="n"/>
      <c r="K20" s="10" t="n"/>
      <c r="L20" s="9" t="n"/>
      <c r="M20" s="11" t="n"/>
      <c r="N20" s="11" t="n"/>
      <c r="O20" s="10" t="n"/>
    </row>
    <row r="21">
      <c r="A21" s="9" t="n"/>
      <c r="B21" s="10" t="n"/>
      <c r="C21" s="10" t="n"/>
      <c r="D21" s="9" t="n"/>
      <c r="E21" s="9" t="n"/>
      <c r="F21" s="9">
        <f>IF(AND(D21&lt;&gt;"",E21&lt;&gt;""),D21*E21,"")</f>
        <v/>
      </c>
      <c r="G21" s="9">
        <f>IF(F21="","",IF(F21&gt;=15,"High",IF(F21&gt;=8,"Medium","Low")))</f>
        <v/>
      </c>
      <c r="H21" s="10" t="n"/>
      <c r="I21" s="10" t="n"/>
      <c r="J21" s="10" t="n"/>
      <c r="K21" s="10" t="n"/>
      <c r="L21" s="9" t="n"/>
      <c r="M21" s="11" t="n"/>
      <c r="N21" s="11" t="n"/>
      <c r="O21" s="10" t="n"/>
    </row>
    <row r="22">
      <c r="A22" s="9" t="n"/>
      <c r="B22" s="10" t="n"/>
      <c r="C22" s="10" t="n"/>
      <c r="D22" s="9" t="n"/>
      <c r="E22" s="9" t="n"/>
      <c r="F22" s="9">
        <f>IF(AND(D22&lt;&gt;"",E22&lt;&gt;""),D22*E22,"")</f>
        <v/>
      </c>
      <c r="G22" s="9">
        <f>IF(F22="","",IF(F22&gt;=15,"High",IF(F22&gt;=8,"Medium","Low")))</f>
        <v/>
      </c>
      <c r="H22" s="10" t="n"/>
      <c r="I22" s="10" t="n"/>
      <c r="J22" s="10" t="n"/>
      <c r="K22" s="10" t="n"/>
      <c r="L22" s="9" t="n"/>
      <c r="M22" s="11" t="n"/>
      <c r="N22" s="11" t="n"/>
      <c r="O22" s="10" t="n"/>
    </row>
    <row r="23">
      <c r="A23" s="9" t="n"/>
      <c r="B23" s="10" t="n"/>
      <c r="C23" s="10" t="n"/>
      <c r="D23" s="9" t="n"/>
      <c r="E23" s="9" t="n"/>
      <c r="F23" s="9">
        <f>IF(AND(D23&lt;&gt;"",E23&lt;&gt;""),D23*E23,"")</f>
        <v/>
      </c>
      <c r="G23" s="9">
        <f>IF(F23="","",IF(F23&gt;=15,"High",IF(F23&gt;=8,"Medium","Low")))</f>
        <v/>
      </c>
      <c r="H23" s="10" t="n"/>
      <c r="I23" s="10" t="n"/>
      <c r="J23" s="10" t="n"/>
      <c r="K23" s="10" t="n"/>
      <c r="L23" s="9" t="n"/>
      <c r="M23" s="11" t="n"/>
      <c r="N23" s="11" t="n"/>
      <c r="O23" s="10" t="n"/>
    </row>
    <row r="24">
      <c r="A24" s="9" t="n"/>
      <c r="B24" s="10" t="n"/>
      <c r="C24" s="10" t="n"/>
      <c r="D24" s="9" t="n"/>
      <c r="E24" s="9" t="n"/>
      <c r="F24" s="9">
        <f>IF(AND(D24&lt;&gt;"",E24&lt;&gt;""),D24*E24,"")</f>
        <v/>
      </c>
      <c r="G24" s="9">
        <f>IF(F24="","",IF(F24&gt;=15,"High",IF(F24&gt;=8,"Medium","Low")))</f>
        <v/>
      </c>
      <c r="H24" s="10" t="n"/>
      <c r="I24" s="10" t="n"/>
      <c r="J24" s="10" t="n"/>
      <c r="K24" s="10" t="n"/>
      <c r="L24" s="9" t="n"/>
      <c r="M24" s="11" t="n"/>
      <c r="N24" s="11" t="n"/>
      <c r="O24" s="10" t="n"/>
    </row>
    <row r="25">
      <c r="A25" s="9" t="n"/>
      <c r="B25" s="10" t="n"/>
      <c r="C25" s="10" t="n"/>
      <c r="D25" s="9" t="n"/>
      <c r="E25" s="9" t="n"/>
      <c r="F25" s="9">
        <f>IF(AND(D25&lt;&gt;"",E25&lt;&gt;""),D25*E25,"")</f>
        <v/>
      </c>
      <c r="G25" s="9">
        <f>IF(F25="","",IF(F25&gt;=15,"High",IF(F25&gt;=8,"Medium","Low")))</f>
        <v/>
      </c>
      <c r="H25" s="10" t="n"/>
      <c r="I25" s="10" t="n"/>
      <c r="J25" s="10" t="n"/>
      <c r="K25" s="10" t="n"/>
      <c r="L25" s="9" t="n"/>
      <c r="M25" s="11" t="n"/>
      <c r="N25" s="11" t="n"/>
      <c r="O25" s="10" t="n"/>
    </row>
    <row r="26">
      <c r="A26" s="9" t="n"/>
      <c r="B26" s="10" t="n"/>
      <c r="C26" s="10" t="n"/>
      <c r="D26" s="9" t="n"/>
      <c r="E26" s="9" t="n"/>
      <c r="F26" s="9">
        <f>IF(AND(D26&lt;&gt;"",E26&lt;&gt;""),D26*E26,"")</f>
        <v/>
      </c>
      <c r="G26" s="9">
        <f>IF(F26="","",IF(F26&gt;=15,"High",IF(F26&gt;=8,"Medium","Low")))</f>
        <v/>
      </c>
      <c r="H26" s="10" t="n"/>
      <c r="I26" s="10" t="n"/>
      <c r="J26" s="10" t="n"/>
      <c r="K26" s="10" t="n"/>
      <c r="L26" s="9" t="n"/>
      <c r="M26" s="11" t="n"/>
      <c r="N26" s="11" t="n"/>
      <c r="O26" s="10" t="n"/>
    </row>
    <row r="27">
      <c r="A27" s="9" t="n"/>
      <c r="B27" s="10" t="n"/>
      <c r="C27" s="10" t="n"/>
      <c r="D27" s="9" t="n"/>
      <c r="E27" s="9" t="n"/>
      <c r="F27" s="9">
        <f>IF(AND(D27&lt;&gt;"",E27&lt;&gt;""),D27*E27,"")</f>
        <v/>
      </c>
      <c r="G27" s="9">
        <f>IF(F27="","",IF(F27&gt;=15,"High",IF(F27&gt;=8,"Medium","Low")))</f>
        <v/>
      </c>
      <c r="H27" s="10" t="n"/>
      <c r="I27" s="10" t="n"/>
      <c r="J27" s="10" t="n"/>
      <c r="K27" s="10" t="n"/>
      <c r="L27" s="9" t="n"/>
      <c r="M27" s="11" t="n"/>
      <c r="N27" s="11" t="n"/>
      <c r="O27" s="10" t="n"/>
    </row>
    <row r="28">
      <c r="A28" s="9" t="n"/>
      <c r="B28" s="10" t="n"/>
      <c r="C28" s="10" t="n"/>
      <c r="D28" s="9" t="n"/>
      <c r="E28" s="9" t="n"/>
      <c r="F28" s="9">
        <f>IF(AND(D28&lt;&gt;"",E28&lt;&gt;""),D28*E28,"")</f>
        <v/>
      </c>
      <c r="G28" s="9">
        <f>IF(F28="","",IF(F28&gt;=15,"High",IF(F28&gt;=8,"Medium","Low")))</f>
        <v/>
      </c>
      <c r="H28" s="10" t="n"/>
      <c r="I28" s="10" t="n"/>
      <c r="J28" s="10" t="n"/>
      <c r="K28" s="10" t="n"/>
      <c r="L28" s="9" t="n"/>
      <c r="M28" s="11" t="n"/>
      <c r="N28" s="11" t="n"/>
      <c r="O28" s="10" t="n"/>
    </row>
    <row r="29">
      <c r="A29" s="9" t="n"/>
      <c r="B29" s="10" t="n"/>
      <c r="C29" s="10" t="n"/>
      <c r="D29" s="9" t="n"/>
      <c r="E29" s="9" t="n"/>
      <c r="F29" s="9">
        <f>IF(AND(D29&lt;&gt;"",E29&lt;&gt;""),D29*E29,"")</f>
        <v/>
      </c>
      <c r="G29" s="9">
        <f>IF(F29="","",IF(F29&gt;=15,"High",IF(F29&gt;=8,"Medium","Low")))</f>
        <v/>
      </c>
      <c r="H29" s="10" t="n"/>
      <c r="I29" s="10" t="n"/>
      <c r="J29" s="10" t="n"/>
      <c r="K29" s="10" t="n"/>
      <c r="L29" s="9" t="n"/>
      <c r="M29" s="11" t="n"/>
      <c r="N29" s="11" t="n"/>
      <c r="O29" s="10" t="n"/>
    </row>
    <row r="30">
      <c r="A30" s="9" t="n"/>
      <c r="B30" s="10" t="n"/>
      <c r="C30" s="10" t="n"/>
      <c r="D30" s="9" t="n"/>
      <c r="E30" s="9" t="n"/>
      <c r="F30" s="9">
        <f>IF(AND(D30&lt;&gt;"",E30&lt;&gt;""),D30*E30,"")</f>
        <v/>
      </c>
      <c r="G30" s="9">
        <f>IF(F30="","",IF(F30&gt;=15,"High",IF(F30&gt;=8,"Medium","Low")))</f>
        <v/>
      </c>
      <c r="H30" s="10" t="n"/>
      <c r="I30" s="10" t="n"/>
      <c r="J30" s="10" t="n"/>
      <c r="K30" s="10" t="n"/>
      <c r="L30" s="9" t="n"/>
      <c r="M30" s="11" t="n"/>
      <c r="N30" s="11" t="n"/>
      <c r="O30" s="10" t="n"/>
    </row>
    <row r="31">
      <c r="A31" s="9" t="n"/>
      <c r="B31" s="10" t="n"/>
      <c r="C31" s="10" t="n"/>
      <c r="D31" s="9" t="n"/>
      <c r="E31" s="9" t="n"/>
      <c r="F31" s="9">
        <f>IF(AND(D31&lt;&gt;"",E31&lt;&gt;""),D31*E31,"")</f>
        <v/>
      </c>
      <c r="G31" s="9">
        <f>IF(F31="","",IF(F31&gt;=15,"High",IF(F31&gt;=8,"Medium","Low")))</f>
        <v/>
      </c>
      <c r="H31" s="10" t="n"/>
      <c r="I31" s="10" t="n"/>
      <c r="J31" s="10" t="n"/>
      <c r="K31" s="10" t="n"/>
      <c r="L31" s="9" t="n"/>
      <c r="M31" s="11" t="n"/>
      <c r="N31" s="11" t="n"/>
      <c r="O31" s="10" t="n"/>
    </row>
    <row r="32">
      <c r="A32" s="9" t="n"/>
      <c r="B32" s="10" t="n"/>
      <c r="C32" s="10" t="n"/>
      <c r="D32" s="9" t="n"/>
      <c r="E32" s="9" t="n"/>
      <c r="F32" s="9">
        <f>IF(AND(D32&lt;&gt;"",E32&lt;&gt;""),D32*E32,"")</f>
        <v/>
      </c>
      <c r="G32" s="9">
        <f>IF(F32="","",IF(F32&gt;=15,"High",IF(F32&gt;=8,"Medium","Low")))</f>
        <v/>
      </c>
      <c r="H32" s="10" t="n"/>
      <c r="I32" s="10" t="n"/>
      <c r="J32" s="10" t="n"/>
      <c r="K32" s="10" t="n"/>
      <c r="L32" s="9" t="n"/>
      <c r="M32" s="11" t="n"/>
      <c r="N32" s="11" t="n"/>
      <c r="O32" s="10" t="n"/>
    </row>
    <row r="33">
      <c r="A33" s="9" t="n"/>
      <c r="B33" s="10" t="n"/>
      <c r="C33" s="10" t="n"/>
      <c r="D33" s="9" t="n"/>
      <c r="E33" s="9" t="n"/>
      <c r="F33" s="9">
        <f>IF(AND(D33&lt;&gt;"",E33&lt;&gt;""),D33*E33,"")</f>
        <v/>
      </c>
      <c r="G33" s="9">
        <f>IF(F33="","",IF(F33&gt;=15,"High",IF(F33&gt;=8,"Medium","Low")))</f>
        <v/>
      </c>
      <c r="H33" s="10" t="n"/>
      <c r="I33" s="10" t="n"/>
      <c r="J33" s="10" t="n"/>
      <c r="K33" s="10" t="n"/>
      <c r="L33" s="9" t="n"/>
      <c r="M33" s="11" t="n"/>
      <c r="N33" s="11" t="n"/>
      <c r="O33" s="10" t="n"/>
    </row>
    <row r="34">
      <c r="A34" s="9" t="n"/>
      <c r="B34" s="10" t="n"/>
      <c r="C34" s="10" t="n"/>
      <c r="D34" s="9" t="n"/>
      <c r="E34" s="9" t="n"/>
      <c r="F34" s="9">
        <f>IF(AND(D34&lt;&gt;"",E34&lt;&gt;""),D34*E34,"")</f>
        <v/>
      </c>
      <c r="G34" s="9">
        <f>IF(F34="","",IF(F34&gt;=15,"High",IF(F34&gt;=8,"Medium","Low")))</f>
        <v/>
      </c>
      <c r="H34" s="10" t="n"/>
      <c r="I34" s="10" t="n"/>
      <c r="J34" s="10" t="n"/>
      <c r="K34" s="10" t="n"/>
      <c r="L34" s="9" t="n"/>
      <c r="M34" s="11" t="n"/>
      <c r="N34" s="11" t="n"/>
      <c r="O34" s="10" t="n"/>
    </row>
    <row r="35">
      <c r="A35" s="9" t="n"/>
      <c r="B35" s="10" t="n"/>
      <c r="C35" s="10" t="n"/>
      <c r="D35" s="9" t="n"/>
      <c r="E35" s="9" t="n"/>
      <c r="F35" s="9">
        <f>IF(AND(D35&lt;&gt;"",E35&lt;&gt;""),D35*E35,"")</f>
        <v/>
      </c>
      <c r="G35" s="9">
        <f>IF(F35="","",IF(F35&gt;=15,"High",IF(F35&gt;=8,"Medium","Low")))</f>
        <v/>
      </c>
      <c r="H35" s="10" t="n"/>
      <c r="I35" s="10" t="n"/>
      <c r="J35" s="10" t="n"/>
      <c r="K35" s="10" t="n"/>
      <c r="L35" s="9" t="n"/>
      <c r="M35" s="11" t="n"/>
      <c r="N35" s="11" t="n"/>
      <c r="O35" s="10" t="n"/>
    </row>
    <row r="36">
      <c r="A36" s="9" t="n"/>
      <c r="B36" s="10" t="n"/>
      <c r="C36" s="10" t="n"/>
      <c r="D36" s="9" t="n"/>
      <c r="E36" s="9" t="n"/>
      <c r="F36" s="9">
        <f>IF(AND(D36&lt;&gt;"",E36&lt;&gt;""),D36*E36,"")</f>
        <v/>
      </c>
      <c r="G36" s="9">
        <f>IF(F36="","",IF(F36&gt;=15,"High",IF(F36&gt;=8,"Medium","Low")))</f>
        <v/>
      </c>
      <c r="H36" s="10" t="n"/>
      <c r="I36" s="10" t="n"/>
      <c r="J36" s="10" t="n"/>
      <c r="K36" s="10" t="n"/>
      <c r="L36" s="9" t="n"/>
      <c r="M36" s="11" t="n"/>
      <c r="N36" s="11" t="n"/>
      <c r="O36" s="10" t="n"/>
    </row>
    <row r="37">
      <c r="A37" s="9" t="n"/>
      <c r="B37" s="10" t="n"/>
      <c r="C37" s="10" t="n"/>
      <c r="D37" s="9" t="n"/>
      <c r="E37" s="9" t="n"/>
      <c r="F37" s="9">
        <f>IF(AND(D37&lt;&gt;"",E37&lt;&gt;""),D37*E37,"")</f>
        <v/>
      </c>
      <c r="G37" s="9">
        <f>IF(F37="","",IF(F37&gt;=15,"High",IF(F37&gt;=8,"Medium","Low")))</f>
        <v/>
      </c>
      <c r="H37" s="10" t="n"/>
      <c r="I37" s="10" t="n"/>
      <c r="J37" s="10" t="n"/>
      <c r="K37" s="10" t="n"/>
      <c r="L37" s="9" t="n"/>
      <c r="M37" s="11" t="n"/>
      <c r="N37" s="11" t="n"/>
      <c r="O37" s="10" t="n"/>
    </row>
    <row r="38">
      <c r="A38" s="9" t="n"/>
      <c r="B38" s="10" t="n"/>
      <c r="C38" s="10" t="n"/>
      <c r="D38" s="9" t="n"/>
      <c r="E38" s="9" t="n"/>
      <c r="F38" s="9">
        <f>IF(AND(D38&lt;&gt;"",E38&lt;&gt;""),D38*E38,"")</f>
        <v/>
      </c>
      <c r="G38" s="9">
        <f>IF(F38="","",IF(F38&gt;=15,"High",IF(F38&gt;=8,"Medium","Low")))</f>
        <v/>
      </c>
      <c r="H38" s="10" t="n"/>
      <c r="I38" s="10" t="n"/>
      <c r="J38" s="10" t="n"/>
      <c r="K38" s="10" t="n"/>
      <c r="L38" s="9" t="n"/>
      <c r="M38" s="11" t="n"/>
      <c r="N38" s="11" t="n"/>
      <c r="O38" s="10" t="n"/>
    </row>
    <row r="39">
      <c r="A39" s="9" t="n"/>
      <c r="B39" s="10" t="n"/>
      <c r="C39" s="10" t="n"/>
      <c r="D39" s="9" t="n"/>
      <c r="E39" s="9" t="n"/>
      <c r="F39" s="9">
        <f>IF(AND(D39&lt;&gt;"",E39&lt;&gt;""),D39*E39,"")</f>
        <v/>
      </c>
      <c r="G39" s="9">
        <f>IF(F39="","",IF(F39&gt;=15,"High",IF(F39&gt;=8,"Medium","Low")))</f>
        <v/>
      </c>
      <c r="H39" s="10" t="n"/>
      <c r="I39" s="10" t="n"/>
      <c r="J39" s="10" t="n"/>
      <c r="K39" s="10" t="n"/>
      <c r="L39" s="9" t="n"/>
      <c r="M39" s="11" t="n"/>
      <c r="N39" s="11" t="n"/>
      <c r="O39" s="10" t="n"/>
    </row>
    <row r="40">
      <c r="A40" s="9" t="n"/>
      <c r="B40" s="10" t="n"/>
      <c r="C40" s="10" t="n"/>
      <c r="D40" s="9" t="n"/>
      <c r="E40" s="9" t="n"/>
      <c r="F40" s="9">
        <f>IF(AND(D40&lt;&gt;"",E40&lt;&gt;""),D40*E40,"")</f>
        <v/>
      </c>
      <c r="G40" s="9">
        <f>IF(F40="","",IF(F40&gt;=15,"High",IF(F40&gt;=8,"Medium","Low")))</f>
        <v/>
      </c>
      <c r="H40" s="10" t="n"/>
      <c r="I40" s="10" t="n"/>
      <c r="J40" s="10" t="n"/>
      <c r="K40" s="10" t="n"/>
      <c r="L40" s="9" t="n"/>
      <c r="M40" s="11" t="n"/>
      <c r="N40" s="11" t="n"/>
      <c r="O40" s="10" t="n"/>
    </row>
    <row r="41">
      <c r="A41" s="9" t="n"/>
      <c r="B41" s="10" t="n"/>
      <c r="C41" s="10" t="n"/>
      <c r="D41" s="9" t="n"/>
      <c r="E41" s="9" t="n"/>
      <c r="F41" s="9">
        <f>IF(AND(D41&lt;&gt;"",E41&lt;&gt;""),D41*E41,"")</f>
        <v/>
      </c>
      <c r="G41" s="9">
        <f>IF(F41="","",IF(F41&gt;=15,"High",IF(F41&gt;=8,"Medium","Low")))</f>
        <v/>
      </c>
      <c r="H41" s="10" t="n"/>
      <c r="I41" s="10" t="n"/>
      <c r="J41" s="10" t="n"/>
      <c r="K41" s="10" t="n"/>
      <c r="L41" s="9" t="n"/>
      <c r="M41" s="11" t="n"/>
      <c r="N41" s="11" t="n"/>
      <c r="O41" s="10" t="n"/>
    </row>
    <row r="42">
      <c r="A42" s="9" t="n"/>
      <c r="B42" s="10" t="n"/>
      <c r="C42" s="10" t="n"/>
      <c r="D42" s="9" t="n"/>
      <c r="E42" s="9" t="n"/>
      <c r="F42" s="9">
        <f>IF(AND(D42&lt;&gt;"",E42&lt;&gt;""),D42*E42,"")</f>
        <v/>
      </c>
      <c r="G42" s="9">
        <f>IF(F42="","",IF(F42&gt;=15,"High",IF(F42&gt;=8,"Medium","Low")))</f>
        <v/>
      </c>
      <c r="H42" s="10" t="n"/>
      <c r="I42" s="10" t="n"/>
      <c r="J42" s="10" t="n"/>
      <c r="K42" s="10" t="n"/>
      <c r="L42" s="9" t="n"/>
      <c r="M42" s="11" t="n"/>
      <c r="N42" s="11" t="n"/>
      <c r="O42" s="10" t="n"/>
    </row>
    <row r="43">
      <c r="A43" s="9" t="n"/>
      <c r="B43" s="10" t="n"/>
      <c r="C43" s="10" t="n"/>
      <c r="D43" s="9" t="n"/>
      <c r="E43" s="9" t="n"/>
      <c r="F43" s="9">
        <f>IF(AND(D43&lt;&gt;"",E43&lt;&gt;""),D43*E43,"")</f>
        <v/>
      </c>
      <c r="G43" s="9">
        <f>IF(F43="","",IF(F43&gt;=15,"High",IF(F43&gt;=8,"Medium","Low")))</f>
        <v/>
      </c>
      <c r="H43" s="10" t="n"/>
      <c r="I43" s="10" t="n"/>
      <c r="J43" s="10" t="n"/>
      <c r="K43" s="10" t="n"/>
      <c r="L43" s="9" t="n"/>
      <c r="M43" s="11" t="n"/>
      <c r="N43" s="11" t="n"/>
      <c r="O43" s="10" t="n"/>
    </row>
    <row r="44">
      <c r="A44" s="9" t="n"/>
      <c r="B44" s="10" t="n"/>
      <c r="C44" s="10" t="n"/>
      <c r="D44" s="9" t="n"/>
      <c r="E44" s="9" t="n"/>
      <c r="F44" s="9">
        <f>IF(AND(D44&lt;&gt;"",E44&lt;&gt;""),D44*E44,"")</f>
        <v/>
      </c>
      <c r="G44" s="9">
        <f>IF(F44="","",IF(F44&gt;=15,"High",IF(F44&gt;=8,"Medium","Low")))</f>
        <v/>
      </c>
      <c r="H44" s="10" t="n"/>
      <c r="I44" s="10" t="n"/>
      <c r="J44" s="10" t="n"/>
      <c r="K44" s="10" t="n"/>
      <c r="L44" s="9" t="n"/>
      <c r="M44" s="11" t="n"/>
      <c r="N44" s="11" t="n"/>
      <c r="O44" s="10" t="n"/>
    </row>
    <row r="45">
      <c r="A45" s="9" t="n"/>
      <c r="B45" s="10" t="n"/>
      <c r="C45" s="10" t="n"/>
      <c r="D45" s="9" t="n"/>
      <c r="E45" s="9" t="n"/>
      <c r="F45" s="9">
        <f>IF(AND(D45&lt;&gt;"",E45&lt;&gt;""),D45*E45,"")</f>
        <v/>
      </c>
      <c r="G45" s="9">
        <f>IF(F45="","",IF(F45&gt;=15,"High",IF(F45&gt;=8,"Medium","Low")))</f>
        <v/>
      </c>
      <c r="H45" s="10" t="n"/>
      <c r="I45" s="10" t="n"/>
      <c r="J45" s="10" t="n"/>
      <c r="K45" s="10" t="n"/>
      <c r="L45" s="9" t="n"/>
      <c r="M45" s="11" t="n"/>
      <c r="N45" s="11" t="n"/>
      <c r="O45" s="10" t="n"/>
    </row>
    <row r="46">
      <c r="A46" s="9" t="n"/>
      <c r="B46" s="10" t="n"/>
      <c r="C46" s="10" t="n"/>
      <c r="D46" s="9" t="n"/>
      <c r="E46" s="9" t="n"/>
      <c r="F46" s="9">
        <f>IF(AND(D46&lt;&gt;"",E46&lt;&gt;""),D46*E46,"")</f>
        <v/>
      </c>
      <c r="G46" s="9">
        <f>IF(F46="","",IF(F46&gt;=15,"High",IF(F46&gt;=8,"Medium","Low")))</f>
        <v/>
      </c>
      <c r="H46" s="10" t="n"/>
      <c r="I46" s="10" t="n"/>
      <c r="J46" s="10" t="n"/>
      <c r="K46" s="10" t="n"/>
      <c r="L46" s="9" t="n"/>
      <c r="M46" s="11" t="n"/>
      <c r="N46" s="11" t="n"/>
      <c r="O46" s="10" t="n"/>
    </row>
    <row r="47">
      <c r="A47" s="9" t="n"/>
      <c r="B47" s="10" t="n"/>
      <c r="C47" s="10" t="n"/>
      <c r="D47" s="9" t="n"/>
      <c r="E47" s="9" t="n"/>
      <c r="F47" s="9">
        <f>IF(AND(D47&lt;&gt;"",E47&lt;&gt;""),D47*E47,"")</f>
        <v/>
      </c>
      <c r="G47" s="9">
        <f>IF(F47="","",IF(F47&gt;=15,"High",IF(F47&gt;=8,"Medium","Low")))</f>
        <v/>
      </c>
      <c r="H47" s="10" t="n"/>
      <c r="I47" s="10" t="n"/>
      <c r="J47" s="10" t="n"/>
      <c r="K47" s="10" t="n"/>
      <c r="L47" s="9" t="n"/>
      <c r="M47" s="11" t="n"/>
      <c r="N47" s="11" t="n"/>
      <c r="O47" s="10" t="n"/>
    </row>
    <row r="48">
      <c r="A48" s="9" t="n"/>
      <c r="B48" s="10" t="n"/>
      <c r="C48" s="10" t="n"/>
      <c r="D48" s="9" t="n"/>
      <c r="E48" s="9" t="n"/>
      <c r="F48" s="9">
        <f>IF(AND(D48&lt;&gt;"",E48&lt;&gt;""),D48*E48,"")</f>
        <v/>
      </c>
      <c r="G48" s="9">
        <f>IF(F48="","",IF(F48&gt;=15,"High",IF(F48&gt;=8,"Medium","Low")))</f>
        <v/>
      </c>
      <c r="H48" s="10" t="n"/>
      <c r="I48" s="10" t="n"/>
      <c r="J48" s="10" t="n"/>
      <c r="K48" s="10" t="n"/>
      <c r="L48" s="9" t="n"/>
      <c r="M48" s="11" t="n"/>
      <c r="N48" s="11" t="n"/>
      <c r="O48" s="10" t="n"/>
    </row>
    <row r="49">
      <c r="A49" s="9" t="n"/>
      <c r="B49" s="10" t="n"/>
      <c r="C49" s="10" t="n"/>
      <c r="D49" s="9" t="n"/>
      <c r="E49" s="9" t="n"/>
      <c r="F49" s="9">
        <f>IF(AND(D49&lt;&gt;"",E49&lt;&gt;""),D49*E49,"")</f>
        <v/>
      </c>
      <c r="G49" s="9">
        <f>IF(F49="","",IF(F49&gt;=15,"High",IF(F49&gt;=8,"Medium","Low")))</f>
        <v/>
      </c>
      <c r="H49" s="10" t="n"/>
      <c r="I49" s="10" t="n"/>
      <c r="J49" s="10" t="n"/>
      <c r="K49" s="10" t="n"/>
      <c r="L49" s="9" t="n"/>
      <c r="M49" s="11" t="n"/>
      <c r="N49" s="11" t="n"/>
      <c r="O49" s="10" t="n"/>
    </row>
    <row r="50">
      <c r="A50" s="9" t="n"/>
      <c r="B50" s="10" t="n"/>
      <c r="C50" s="10" t="n"/>
      <c r="D50" s="9" t="n"/>
      <c r="E50" s="9" t="n"/>
      <c r="F50" s="9">
        <f>IF(AND(D50&lt;&gt;"",E50&lt;&gt;""),D50*E50,"")</f>
        <v/>
      </c>
      <c r="G50" s="9">
        <f>IF(F50="","",IF(F50&gt;=15,"High",IF(F50&gt;=8,"Medium","Low")))</f>
        <v/>
      </c>
      <c r="H50" s="10" t="n"/>
      <c r="I50" s="10" t="n"/>
      <c r="J50" s="10" t="n"/>
      <c r="K50" s="10" t="n"/>
      <c r="L50" s="9" t="n"/>
      <c r="M50" s="11" t="n"/>
      <c r="N50" s="11" t="n"/>
      <c r="O50" s="10" t="n"/>
    </row>
    <row r="51">
      <c r="A51" s="9" t="n"/>
      <c r="B51" s="10" t="n"/>
      <c r="C51" s="10" t="n"/>
      <c r="D51" s="9" t="n"/>
      <c r="E51" s="9" t="n"/>
      <c r="F51" s="9">
        <f>IF(AND(D51&lt;&gt;"",E51&lt;&gt;""),D51*E51,"")</f>
        <v/>
      </c>
      <c r="G51" s="9">
        <f>IF(F51="","",IF(F51&gt;=15,"High",IF(F51&gt;=8,"Medium","Low")))</f>
        <v/>
      </c>
      <c r="H51" s="10" t="n"/>
      <c r="I51" s="10" t="n"/>
      <c r="J51" s="10" t="n"/>
      <c r="K51" s="10" t="n"/>
      <c r="L51" s="9" t="n"/>
      <c r="M51" s="11" t="n"/>
      <c r="N51" s="11" t="n"/>
      <c r="O51" s="10" t="n"/>
    </row>
    <row r="52">
      <c r="A52" s="9" t="n"/>
      <c r="B52" s="10" t="n"/>
      <c r="C52" s="10" t="n"/>
      <c r="D52" s="9" t="n"/>
      <c r="E52" s="9" t="n"/>
      <c r="F52" s="9">
        <f>IF(AND(D52&lt;&gt;"",E52&lt;&gt;""),D52*E52,"")</f>
        <v/>
      </c>
      <c r="G52" s="9">
        <f>IF(F52="","",IF(F52&gt;=15,"High",IF(F52&gt;=8,"Medium","Low")))</f>
        <v/>
      </c>
      <c r="H52" s="10" t="n"/>
      <c r="I52" s="10" t="n"/>
      <c r="J52" s="10" t="n"/>
      <c r="K52" s="10" t="n"/>
      <c r="L52" s="9" t="n"/>
      <c r="M52" s="11" t="n"/>
      <c r="N52" s="11" t="n"/>
      <c r="O52" s="10" t="n"/>
    </row>
    <row r="53">
      <c r="A53" s="9" t="n"/>
      <c r="B53" s="10" t="n"/>
      <c r="C53" s="10" t="n"/>
      <c r="D53" s="9" t="n"/>
      <c r="E53" s="9" t="n"/>
      <c r="F53" s="9">
        <f>IF(AND(D53&lt;&gt;"",E53&lt;&gt;""),D53*E53,"")</f>
        <v/>
      </c>
      <c r="G53" s="9">
        <f>IF(F53="","",IF(F53&gt;=15,"High",IF(F53&gt;=8,"Medium","Low")))</f>
        <v/>
      </c>
      <c r="H53" s="10" t="n"/>
      <c r="I53" s="10" t="n"/>
      <c r="J53" s="10" t="n"/>
      <c r="K53" s="10" t="n"/>
      <c r="L53" s="9" t="n"/>
      <c r="M53" s="11" t="n"/>
      <c r="N53" s="11" t="n"/>
      <c r="O53" s="10" t="n"/>
    </row>
    <row r="54">
      <c r="A54" s="9" t="n"/>
      <c r="B54" s="10" t="n"/>
      <c r="C54" s="10" t="n"/>
      <c r="D54" s="9" t="n"/>
      <c r="E54" s="9" t="n"/>
      <c r="F54" s="9">
        <f>IF(AND(D54&lt;&gt;"",E54&lt;&gt;""),D54*E54,"")</f>
        <v/>
      </c>
      <c r="G54" s="9">
        <f>IF(F54="","",IF(F54&gt;=15,"High",IF(F54&gt;=8,"Medium","Low")))</f>
        <v/>
      </c>
      <c r="H54" s="10" t="n"/>
      <c r="I54" s="10" t="n"/>
      <c r="J54" s="10" t="n"/>
      <c r="K54" s="10" t="n"/>
      <c r="L54" s="9" t="n"/>
      <c r="M54" s="11" t="n"/>
      <c r="N54" s="11" t="n"/>
      <c r="O54" s="10" t="n"/>
    </row>
    <row r="55">
      <c r="A55" s="9" t="n"/>
      <c r="B55" s="10" t="n"/>
      <c r="C55" s="10" t="n"/>
      <c r="D55" s="9" t="n"/>
      <c r="E55" s="9" t="n"/>
      <c r="F55" s="9">
        <f>IF(AND(D55&lt;&gt;"",E55&lt;&gt;""),D55*E55,"")</f>
        <v/>
      </c>
      <c r="G55" s="9">
        <f>IF(F55="","",IF(F55&gt;=15,"High",IF(F55&gt;=8,"Medium","Low")))</f>
        <v/>
      </c>
      <c r="H55" s="10" t="n"/>
      <c r="I55" s="10" t="n"/>
      <c r="J55" s="10" t="n"/>
      <c r="K55" s="10" t="n"/>
      <c r="L55" s="9" t="n"/>
      <c r="M55" s="11" t="n"/>
      <c r="N55" s="11" t="n"/>
      <c r="O55" s="10" t="n"/>
    </row>
    <row r="56">
      <c r="A56" s="9" t="n"/>
      <c r="B56" s="10" t="n"/>
      <c r="C56" s="10" t="n"/>
      <c r="D56" s="9" t="n"/>
      <c r="E56" s="9" t="n"/>
      <c r="F56" s="9">
        <f>IF(AND(D56&lt;&gt;"",E56&lt;&gt;""),D56*E56,"")</f>
        <v/>
      </c>
      <c r="G56" s="9">
        <f>IF(F56="","",IF(F56&gt;=15,"High",IF(F56&gt;=8,"Medium","Low")))</f>
        <v/>
      </c>
      <c r="H56" s="10" t="n"/>
      <c r="I56" s="10" t="n"/>
      <c r="J56" s="10" t="n"/>
      <c r="K56" s="10" t="n"/>
      <c r="L56" s="9" t="n"/>
      <c r="M56" s="11" t="n"/>
      <c r="N56" s="11" t="n"/>
      <c r="O56" s="10" t="n"/>
    </row>
    <row r="57">
      <c r="A57" s="9" t="n"/>
      <c r="B57" s="10" t="n"/>
      <c r="C57" s="10" t="n"/>
      <c r="D57" s="9" t="n"/>
      <c r="E57" s="9" t="n"/>
      <c r="F57" s="9">
        <f>IF(AND(D57&lt;&gt;"",E57&lt;&gt;""),D57*E57,"")</f>
        <v/>
      </c>
      <c r="G57" s="9">
        <f>IF(F57="","",IF(F57&gt;=15,"High",IF(F57&gt;=8,"Medium","Low")))</f>
        <v/>
      </c>
      <c r="H57" s="10" t="n"/>
      <c r="I57" s="10" t="n"/>
      <c r="J57" s="10" t="n"/>
      <c r="K57" s="10" t="n"/>
      <c r="L57" s="9" t="n"/>
      <c r="M57" s="11" t="n"/>
      <c r="N57" s="11" t="n"/>
      <c r="O57" s="10" t="n"/>
    </row>
    <row r="58">
      <c r="A58" s="9" t="n"/>
      <c r="B58" s="10" t="n"/>
      <c r="C58" s="10" t="n"/>
      <c r="D58" s="9" t="n"/>
      <c r="E58" s="9" t="n"/>
      <c r="F58" s="9">
        <f>IF(AND(D58&lt;&gt;"",E58&lt;&gt;""),D58*E58,"")</f>
        <v/>
      </c>
      <c r="G58" s="9">
        <f>IF(F58="","",IF(F58&gt;=15,"High",IF(F58&gt;=8,"Medium","Low")))</f>
        <v/>
      </c>
      <c r="H58" s="10" t="n"/>
      <c r="I58" s="10" t="n"/>
      <c r="J58" s="10" t="n"/>
      <c r="K58" s="10" t="n"/>
      <c r="L58" s="9" t="n"/>
      <c r="M58" s="11" t="n"/>
      <c r="N58" s="11" t="n"/>
      <c r="O58" s="10" t="n"/>
    </row>
    <row r="59">
      <c r="A59" s="9" t="n"/>
      <c r="B59" s="10" t="n"/>
      <c r="C59" s="10" t="n"/>
      <c r="D59" s="9" t="n"/>
      <c r="E59" s="9" t="n"/>
      <c r="F59" s="9">
        <f>IF(AND(D59&lt;&gt;"",E59&lt;&gt;""),D59*E59,"")</f>
        <v/>
      </c>
      <c r="G59" s="9">
        <f>IF(F59="","",IF(F59&gt;=15,"High",IF(F59&gt;=8,"Medium","Low")))</f>
        <v/>
      </c>
      <c r="H59" s="10" t="n"/>
      <c r="I59" s="10" t="n"/>
      <c r="J59" s="10" t="n"/>
      <c r="K59" s="10" t="n"/>
      <c r="L59" s="9" t="n"/>
      <c r="M59" s="11" t="n"/>
      <c r="N59" s="11" t="n"/>
      <c r="O59" s="10" t="n"/>
    </row>
    <row r="60">
      <c r="A60" s="9" t="n"/>
      <c r="B60" s="10" t="n"/>
      <c r="C60" s="10" t="n"/>
      <c r="D60" s="9" t="n"/>
      <c r="E60" s="9" t="n"/>
      <c r="F60" s="9">
        <f>IF(AND(D60&lt;&gt;"",E60&lt;&gt;""),D60*E60,"")</f>
        <v/>
      </c>
      <c r="G60" s="9">
        <f>IF(F60="","",IF(F60&gt;=15,"High",IF(F60&gt;=8,"Medium","Low")))</f>
        <v/>
      </c>
      <c r="H60" s="10" t="n"/>
      <c r="I60" s="10" t="n"/>
      <c r="J60" s="10" t="n"/>
      <c r="K60" s="10" t="n"/>
      <c r="L60" s="9" t="n"/>
      <c r="M60" s="11" t="n"/>
      <c r="N60" s="11" t="n"/>
      <c r="O60" s="10" t="n"/>
    </row>
    <row r="61">
      <c r="A61" s="9" t="n"/>
      <c r="B61" s="10" t="n"/>
      <c r="C61" s="10" t="n"/>
      <c r="D61" s="9" t="n"/>
      <c r="E61" s="9" t="n"/>
      <c r="F61" s="9">
        <f>IF(AND(D61&lt;&gt;"",E61&lt;&gt;""),D61*E61,"")</f>
        <v/>
      </c>
      <c r="G61" s="9">
        <f>IF(F61="","",IF(F61&gt;=15,"High",IF(F61&gt;=8,"Medium","Low")))</f>
        <v/>
      </c>
      <c r="H61" s="10" t="n"/>
      <c r="I61" s="10" t="n"/>
      <c r="J61" s="10" t="n"/>
      <c r="K61" s="10" t="n"/>
      <c r="L61" s="9" t="n"/>
      <c r="M61" s="11" t="n"/>
      <c r="N61" s="11" t="n"/>
      <c r="O61" s="10" t="n"/>
    </row>
    <row r="62">
      <c r="A62" s="9" t="n"/>
      <c r="B62" s="10" t="n"/>
      <c r="C62" s="10" t="n"/>
      <c r="D62" s="9" t="n"/>
      <c r="E62" s="9" t="n"/>
      <c r="F62" s="9">
        <f>IF(AND(D62&lt;&gt;"",E62&lt;&gt;""),D62*E62,"")</f>
        <v/>
      </c>
      <c r="G62" s="9">
        <f>IF(F62="","",IF(F62&gt;=15,"High",IF(F62&gt;=8,"Medium","Low")))</f>
        <v/>
      </c>
      <c r="H62" s="10" t="n"/>
      <c r="I62" s="10" t="n"/>
      <c r="J62" s="10" t="n"/>
      <c r="K62" s="10" t="n"/>
      <c r="L62" s="9" t="n"/>
      <c r="M62" s="11" t="n"/>
      <c r="N62" s="11" t="n"/>
      <c r="O62" s="10" t="n"/>
    </row>
    <row r="63">
      <c r="A63" s="9" t="n"/>
      <c r="B63" s="10" t="n"/>
      <c r="C63" s="10" t="n"/>
      <c r="D63" s="9" t="n"/>
      <c r="E63" s="9" t="n"/>
      <c r="F63" s="9">
        <f>IF(AND(D63&lt;&gt;"",E63&lt;&gt;""),D63*E63,"")</f>
        <v/>
      </c>
      <c r="G63" s="9">
        <f>IF(F63="","",IF(F63&gt;=15,"High",IF(F63&gt;=8,"Medium","Low")))</f>
        <v/>
      </c>
      <c r="H63" s="10" t="n"/>
      <c r="I63" s="10" t="n"/>
      <c r="J63" s="10" t="n"/>
      <c r="K63" s="10" t="n"/>
      <c r="L63" s="9" t="n"/>
      <c r="M63" s="11" t="n"/>
      <c r="N63" s="11" t="n"/>
      <c r="O63" s="10" t="n"/>
    </row>
    <row r="64">
      <c r="A64" s="9" t="n"/>
      <c r="B64" s="10" t="n"/>
      <c r="C64" s="10" t="n"/>
      <c r="D64" s="9" t="n"/>
      <c r="E64" s="9" t="n"/>
      <c r="F64" s="9">
        <f>IF(AND(D64&lt;&gt;"",E64&lt;&gt;""),D64*E64,"")</f>
        <v/>
      </c>
      <c r="G64" s="9">
        <f>IF(F64="","",IF(F64&gt;=15,"High",IF(F64&gt;=8,"Medium","Low")))</f>
        <v/>
      </c>
      <c r="H64" s="10" t="n"/>
      <c r="I64" s="10" t="n"/>
      <c r="J64" s="10" t="n"/>
      <c r="K64" s="10" t="n"/>
      <c r="L64" s="9" t="n"/>
      <c r="M64" s="11" t="n"/>
      <c r="N64" s="11" t="n"/>
      <c r="O64" s="10" t="n"/>
    </row>
    <row r="65">
      <c r="A65" s="9" t="n"/>
      <c r="B65" s="10" t="n"/>
      <c r="C65" s="10" t="n"/>
      <c r="D65" s="9" t="n"/>
      <c r="E65" s="9" t="n"/>
      <c r="F65" s="9">
        <f>IF(AND(D65&lt;&gt;"",E65&lt;&gt;""),D65*E65,"")</f>
        <v/>
      </c>
      <c r="G65" s="9">
        <f>IF(F65="","",IF(F65&gt;=15,"High",IF(F65&gt;=8,"Medium","Low")))</f>
        <v/>
      </c>
      <c r="H65" s="10" t="n"/>
      <c r="I65" s="10" t="n"/>
      <c r="J65" s="10" t="n"/>
      <c r="K65" s="10" t="n"/>
      <c r="L65" s="9" t="n"/>
      <c r="M65" s="11" t="n"/>
      <c r="N65" s="11" t="n"/>
      <c r="O65" s="10" t="n"/>
    </row>
    <row r="66">
      <c r="A66" s="9" t="n"/>
      <c r="B66" s="10" t="n"/>
      <c r="C66" s="10" t="n"/>
      <c r="D66" s="9" t="n"/>
      <c r="E66" s="9" t="n"/>
      <c r="F66" s="9">
        <f>IF(AND(D66&lt;&gt;"",E66&lt;&gt;""),D66*E66,"")</f>
        <v/>
      </c>
      <c r="G66" s="9">
        <f>IF(F66="","",IF(F66&gt;=15,"High",IF(F66&gt;=8,"Medium","Low")))</f>
        <v/>
      </c>
      <c r="H66" s="10" t="n"/>
      <c r="I66" s="10" t="n"/>
      <c r="J66" s="10" t="n"/>
      <c r="K66" s="10" t="n"/>
      <c r="L66" s="9" t="n"/>
      <c r="M66" s="11" t="n"/>
      <c r="N66" s="11" t="n"/>
      <c r="O66" s="10" t="n"/>
    </row>
    <row r="67">
      <c r="A67" s="9" t="n"/>
      <c r="B67" s="10" t="n"/>
      <c r="C67" s="10" t="n"/>
      <c r="D67" s="9" t="n"/>
      <c r="E67" s="9" t="n"/>
      <c r="F67" s="9">
        <f>IF(AND(D67&lt;&gt;"",E67&lt;&gt;""),D67*E67,"")</f>
        <v/>
      </c>
      <c r="G67" s="9">
        <f>IF(F67="","",IF(F67&gt;=15,"High",IF(F67&gt;=8,"Medium","Low")))</f>
        <v/>
      </c>
      <c r="H67" s="10" t="n"/>
      <c r="I67" s="10" t="n"/>
      <c r="J67" s="10" t="n"/>
      <c r="K67" s="10" t="n"/>
      <c r="L67" s="9" t="n"/>
      <c r="M67" s="11" t="n"/>
      <c r="N67" s="11" t="n"/>
      <c r="O67" s="10" t="n"/>
    </row>
    <row r="68">
      <c r="A68" s="9" t="n"/>
      <c r="B68" s="10" t="n"/>
      <c r="C68" s="10" t="n"/>
      <c r="D68" s="9" t="n"/>
      <c r="E68" s="9" t="n"/>
      <c r="F68" s="9">
        <f>IF(AND(D68&lt;&gt;"",E68&lt;&gt;""),D68*E68,"")</f>
        <v/>
      </c>
      <c r="G68" s="9">
        <f>IF(F68="","",IF(F68&gt;=15,"High",IF(F68&gt;=8,"Medium","Low")))</f>
        <v/>
      </c>
      <c r="H68" s="10" t="n"/>
      <c r="I68" s="10" t="n"/>
      <c r="J68" s="10" t="n"/>
      <c r="K68" s="10" t="n"/>
      <c r="L68" s="9" t="n"/>
      <c r="M68" s="11" t="n"/>
      <c r="N68" s="11" t="n"/>
      <c r="O68" s="10" t="n"/>
    </row>
    <row r="69">
      <c r="A69" s="9" t="n"/>
      <c r="B69" s="10" t="n"/>
      <c r="C69" s="10" t="n"/>
      <c r="D69" s="9" t="n"/>
      <c r="E69" s="9" t="n"/>
      <c r="F69" s="9">
        <f>IF(AND(D69&lt;&gt;"",E69&lt;&gt;""),D69*E69,"")</f>
        <v/>
      </c>
      <c r="G69" s="9">
        <f>IF(F69="","",IF(F69&gt;=15,"High",IF(F69&gt;=8,"Medium","Low")))</f>
        <v/>
      </c>
      <c r="H69" s="10" t="n"/>
      <c r="I69" s="10" t="n"/>
      <c r="J69" s="10" t="n"/>
      <c r="K69" s="10" t="n"/>
      <c r="L69" s="9" t="n"/>
      <c r="M69" s="11" t="n"/>
      <c r="N69" s="11" t="n"/>
      <c r="O69" s="10" t="n"/>
    </row>
    <row r="70">
      <c r="A70" s="9" t="n"/>
      <c r="B70" s="10" t="n"/>
      <c r="C70" s="10" t="n"/>
      <c r="D70" s="9" t="n"/>
      <c r="E70" s="9" t="n"/>
      <c r="F70" s="9">
        <f>IF(AND(D70&lt;&gt;"",E70&lt;&gt;""),D70*E70,"")</f>
        <v/>
      </c>
      <c r="G70" s="9">
        <f>IF(F70="","",IF(F70&gt;=15,"High",IF(F70&gt;=8,"Medium","Low")))</f>
        <v/>
      </c>
      <c r="H70" s="10" t="n"/>
      <c r="I70" s="10" t="n"/>
      <c r="J70" s="10" t="n"/>
      <c r="K70" s="10" t="n"/>
      <c r="L70" s="9" t="n"/>
      <c r="M70" s="11" t="n"/>
      <c r="N70" s="11" t="n"/>
      <c r="O70" s="10" t="n"/>
    </row>
    <row r="71">
      <c r="A71" s="9" t="n"/>
      <c r="B71" s="10" t="n"/>
      <c r="C71" s="10" t="n"/>
      <c r="D71" s="9" t="n"/>
      <c r="E71" s="9" t="n"/>
      <c r="F71" s="9">
        <f>IF(AND(D71&lt;&gt;"",E71&lt;&gt;""),D71*E71,"")</f>
        <v/>
      </c>
      <c r="G71" s="9">
        <f>IF(F71="","",IF(F71&gt;=15,"High",IF(F71&gt;=8,"Medium","Low")))</f>
        <v/>
      </c>
      <c r="H71" s="10" t="n"/>
      <c r="I71" s="10" t="n"/>
      <c r="J71" s="10" t="n"/>
      <c r="K71" s="10" t="n"/>
      <c r="L71" s="9" t="n"/>
      <c r="M71" s="11" t="n"/>
      <c r="N71" s="11" t="n"/>
      <c r="O71" s="10" t="n"/>
    </row>
    <row r="72">
      <c r="A72" s="9" t="n"/>
      <c r="B72" s="10" t="n"/>
      <c r="C72" s="10" t="n"/>
      <c r="D72" s="9" t="n"/>
      <c r="E72" s="9" t="n"/>
      <c r="F72" s="9">
        <f>IF(AND(D72&lt;&gt;"",E72&lt;&gt;""),D72*E72,"")</f>
        <v/>
      </c>
      <c r="G72" s="9">
        <f>IF(F72="","",IF(F72&gt;=15,"High",IF(F72&gt;=8,"Medium","Low")))</f>
        <v/>
      </c>
      <c r="H72" s="10" t="n"/>
      <c r="I72" s="10" t="n"/>
      <c r="J72" s="10" t="n"/>
      <c r="K72" s="10" t="n"/>
      <c r="L72" s="9" t="n"/>
      <c r="M72" s="11" t="n"/>
      <c r="N72" s="11" t="n"/>
      <c r="O72" s="10" t="n"/>
    </row>
    <row r="73">
      <c r="A73" s="9" t="n"/>
      <c r="B73" s="10" t="n"/>
      <c r="C73" s="10" t="n"/>
      <c r="D73" s="9" t="n"/>
      <c r="E73" s="9" t="n"/>
      <c r="F73" s="9">
        <f>IF(AND(D73&lt;&gt;"",E73&lt;&gt;""),D73*E73,"")</f>
        <v/>
      </c>
      <c r="G73" s="9">
        <f>IF(F73="","",IF(F73&gt;=15,"High",IF(F73&gt;=8,"Medium","Low")))</f>
        <v/>
      </c>
      <c r="H73" s="10" t="n"/>
      <c r="I73" s="10" t="n"/>
      <c r="J73" s="10" t="n"/>
      <c r="K73" s="10" t="n"/>
      <c r="L73" s="9" t="n"/>
      <c r="M73" s="11" t="n"/>
      <c r="N73" s="11" t="n"/>
      <c r="O73" s="10" t="n"/>
    </row>
    <row r="74">
      <c r="A74" s="9" t="n"/>
      <c r="B74" s="10" t="n"/>
      <c r="C74" s="10" t="n"/>
      <c r="D74" s="9" t="n"/>
      <c r="E74" s="9" t="n"/>
      <c r="F74" s="9">
        <f>IF(AND(D74&lt;&gt;"",E74&lt;&gt;""),D74*E74,"")</f>
        <v/>
      </c>
      <c r="G74" s="9">
        <f>IF(F74="","",IF(F74&gt;=15,"High",IF(F74&gt;=8,"Medium","Low")))</f>
        <v/>
      </c>
      <c r="H74" s="10" t="n"/>
      <c r="I74" s="10" t="n"/>
      <c r="J74" s="10" t="n"/>
      <c r="K74" s="10" t="n"/>
      <c r="L74" s="9" t="n"/>
      <c r="M74" s="11" t="n"/>
      <c r="N74" s="11" t="n"/>
      <c r="O74" s="10" t="n"/>
    </row>
    <row r="75">
      <c r="A75" s="9" t="n"/>
      <c r="B75" s="10" t="n"/>
      <c r="C75" s="10" t="n"/>
      <c r="D75" s="9" t="n"/>
      <c r="E75" s="9" t="n"/>
      <c r="F75" s="9">
        <f>IF(AND(D75&lt;&gt;"",E75&lt;&gt;""),D75*E75,"")</f>
        <v/>
      </c>
      <c r="G75" s="9">
        <f>IF(F75="","",IF(F75&gt;=15,"High",IF(F75&gt;=8,"Medium","Low")))</f>
        <v/>
      </c>
      <c r="H75" s="10" t="n"/>
      <c r="I75" s="10" t="n"/>
      <c r="J75" s="10" t="n"/>
      <c r="K75" s="10" t="n"/>
      <c r="L75" s="9" t="n"/>
      <c r="M75" s="11" t="n"/>
      <c r="N75" s="11" t="n"/>
      <c r="O75" s="10" t="n"/>
    </row>
    <row r="76">
      <c r="A76" s="9" t="n"/>
      <c r="B76" s="10" t="n"/>
      <c r="C76" s="10" t="n"/>
      <c r="D76" s="9" t="n"/>
      <c r="E76" s="9" t="n"/>
      <c r="F76" s="9">
        <f>IF(AND(D76&lt;&gt;"",E76&lt;&gt;""),D76*E76,"")</f>
        <v/>
      </c>
      <c r="G76" s="9">
        <f>IF(F76="","",IF(F76&gt;=15,"High",IF(F76&gt;=8,"Medium","Low")))</f>
        <v/>
      </c>
      <c r="H76" s="10" t="n"/>
      <c r="I76" s="10" t="n"/>
      <c r="J76" s="10" t="n"/>
      <c r="K76" s="10" t="n"/>
      <c r="L76" s="9" t="n"/>
      <c r="M76" s="11" t="n"/>
      <c r="N76" s="11" t="n"/>
      <c r="O76" s="10" t="n"/>
    </row>
    <row r="77">
      <c r="A77" s="9" t="n"/>
      <c r="B77" s="10" t="n"/>
      <c r="C77" s="10" t="n"/>
      <c r="D77" s="9" t="n"/>
      <c r="E77" s="9" t="n"/>
      <c r="F77" s="9">
        <f>IF(AND(D77&lt;&gt;"",E77&lt;&gt;""),D77*E77,"")</f>
        <v/>
      </c>
      <c r="G77" s="9">
        <f>IF(F77="","",IF(F77&gt;=15,"High",IF(F77&gt;=8,"Medium","Low")))</f>
        <v/>
      </c>
      <c r="H77" s="10" t="n"/>
      <c r="I77" s="10" t="n"/>
      <c r="J77" s="10" t="n"/>
      <c r="K77" s="10" t="n"/>
      <c r="L77" s="9" t="n"/>
      <c r="M77" s="11" t="n"/>
      <c r="N77" s="11" t="n"/>
      <c r="O77" s="10" t="n"/>
    </row>
    <row r="78">
      <c r="A78" s="9" t="n"/>
      <c r="B78" s="10" t="n"/>
      <c r="C78" s="10" t="n"/>
      <c r="D78" s="9" t="n"/>
      <c r="E78" s="9" t="n"/>
      <c r="F78" s="9">
        <f>IF(AND(D78&lt;&gt;"",E78&lt;&gt;""),D78*E78,"")</f>
        <v/>
      </c>
      <c r="G78" s="9">
        <f>IF(F78="","",IF(F78&gt;=15,"High",IF(F78&gt;=8,"Medium","Low")))</f>
        <v/>
      </c>
      <c r="H78" s="10" t="n"/>
      <c r="I78" s="10" t="n"/>
      <c r="J78" s="10" t="n"/>
      <c r="K78" s="10" t="n"/>
      <c r="L78" s="9" t="n"/>
      <c r="M78" s="11" t="n"/>
      <c r="N78" s="11" t="n"/>
      <c r="O78" s="10" t="n"/>
    </row>
    <row r="79">
      <c r="A79" s="9" t="n"/>
      <c r="B79" s="10" t="n"/>
      <c r="C79" s="10" t="n"/>
      <c r="D79" s="9" t="n"/>
      <c r="E79" s="9" t="n"/>
      <c r="F79" s="9">
        <f>IF(AND(D79&lt;&gt;"",E79&lt;&gt;""),D79*E79,"")</f>
        <v/>
      </c>
      <c r="G79" s="9">
        <f>IF(F79="","",IF(F79&gt;=15,"High",IF(F79&gt;=8,"Medium","Low")))</f>
        <v/>
      </c>
      <c r="H79" s="10" t="n"/>
      <c r="I79" s="10" t="n"/>
      <c r="J79" s="10" t="n"/>
      <c r="K79" s="10" t="n"/>
      <c r="L79" s="9" t="n"/>
      <c r="M79" s="11" t="n"/>
      <c r="N79" s="11" t="n"/>
      <c r="O79" s="10" t="n"/>
    </row>
    <row r="80">
      <c r="A80" s="9" t="n"/>
      <c r="B80" s="10" t="n"/>
      <c r="C80" s="10" t="n"/>
      <c r="D80" s="9" t="n"/>
      <c r="E80" s="9" t="n"/>
      <c r="F80" s="9">
        <f>IF(AND(D80&lt;&gt;"",E80&lt;&gt;""),D80*E80,"")</f>
        <v/>
      </c>
      <c r="G80" s="9">
        <f>IF(F80="","",IF(F80&gt;=15,"High",IF(F80&gt;=8,"Medium","Low")))</f>
        <v/>
      </c>
      <c r="H80" s="10" t="n"/>
      <c r="I80" s="10" t="n"/>
      <c r="J80" s="10" t="n"/>
      <c r="K80" s="10" t="n"/>
      <c r="L80" s="9" t="n"/>
      <c r="M80" s="11" t="n"/>
      <c r="N80" s="11" t="n"/>
      <c r="O80" s="10" t="n"/>
    </row>
    <row r="81">
      <c r="A81" s="9" t="n"/>
      <c r="B81" s="10" t="n"/>
      <c r="C81" s="10" t="n"/>
      <c r="D81" s="9" t="n"/>
      <c r="E81" s="9" t="n"/>
      <c r="F81" s="9">
        <f>IF(AND(D81&lt;&gt;"",E81&lt;&gt;""),D81*E81,"")</f>
        <v/>
      </c>
      <c r="G81" s="9">
        <f>IF(F81="","",IF(F81&gt;=15,"High",IF(F81&gt;=8,"Medium","Low")))</f>
        <v/>
      </c>
      <c r="H81" s="10" t="n"/>
      <c r="I81" s="10" t="n"/>
      <c r="J81" s="10" t="n"/>
      <c r="K81" s="10" t="n"/>
      <c r="L81" s="9" t="n"/>
      <c r="M81" s="11" t="n"/>
      <c r="N81" s="11" t="n"/>
      <c r="O81" s="10" t="n"/>
    </row>
    <row r="82">
      <c r="A82" s="9" t="n"/>
      <c r="B82" s="10" t="n"/>
      <c r="C82" s="10" t="n"/>
      <c r="D82" s="9" t="n"/>
      <c r="E82" s="9" t="n"/>
      <c r="F82" s="9">
        <f>IF(AND(D82&lt;&gt;"",E82&lt;&gt;""),D82*E82,"")</f>
        <v/>
      </c>
      <c r="G82" s="9">
        <f>IF(F82="","",IF(F82&gt;=15,"High",IF(F82&gt;=8,"Medium","Low")))</f>
        <v/>
      </c>
      <c r="H82" s="10" t="n"/>
      <c r="I82" s="10" t="n"/>
      <c r="J82" s="10" t="n"/>
      <c r="K82" s="10" t="n"/>
      <c r="L82" s="9" t="n"/>
      <c r="M82" s="11" t="n"/>
      <c r="N82" s="11" t="n"/>
      <c r="O82" s="10" t="n"/>
    </row>
    <row r="83">
      <c r="A83" s="9" t="n"/>
      <c r="B83" s="10" t="n"/>
      <c r="C83" s="10" t="n"/>
      <c r="D83" s="9" t="n"/>
      <c r="E83" s="9" t="n"/>
      <c r="F83" s="9">
        <f>IF(AND(D83&lt;&gt;"",E83&lt;&gt;""),D83*E83,"")</f>
        <v/>
      </c>
      <c r="G83" s="9">
        <f>IF(F83="","",IF(F83&gt;=15,"High",IF(F83&gt;=8,"Medium","Low")))</f>
        <v/>
      </c>
      <c r="H83" s="10" t="n"/>
      <c r="I83" s="10" t="n"/>
      <c r="J83" s="10" t="n"/>
      <c r="K83" s="10" t="n"/>
      <c r="L83" s="9" t="n"/>
      <c r="M83" s="11" t="n"/>
      <c r="N83" s="11" t="n"/>
      <c r="O83" s="10" t="n"/>
    </row>
    <row r="84">
      <c r="A84" s="9" t="n"/>
      <c r="B84" s="10" t="n"/>
      <c r="C84" s="10" t="n"/>
      <c r="D84" s="9" t="n"/>
      <c r="E84" s="9" t="n"/>
      <c r="F84" s="9">
        <f>IF(AND(D84&lt;&gt;"",E84&lt;&gt;""),D84*E84,"")</f>
        <v/>
      </c>
      <c r="G84" s="9">
        <f>IF(F84="","",IF(F84&gt;=15,"High",IF(F84&gt;=8,"Medium","Low")))</f>
        <v/>
      </c>
      <c r="H84" s="10" t="n"/>
      <c r="I84" s="10" t="n"/>
      <c r="J84" s="10" t="n"/>
      <c r="K84" s="10" t="n"/>
      <c r="L84" s="9" t="n"/>
      <c r="M84" s="11" t="n"/>
      <c r="N84" s="11" t="n"/>
      <c r="O84" s="10" t="n"/>
    </row>
    <row r="85">
      <c r="A85" s="9" t="n"/>
      <c r="B85" s="10" t="n"/>
      <c r="C85" s="10" t="n"/>
      <c r="D85" s="9" t="n"/>
      <c r="E85" s="9" t="n"/>
      <c r="F85" s="9">
        <f>IF(AND(D85&lt;&gt;"",E85&lt;&gt;""),D85*E85,"")</f>
        <v/>
      </c>
      <c r="G85" s="9">
        <f>IF(F85="","",IF(F85&gt;=15,"High",IF(F85&gt;=8,"Medium","Low")))</f>
        <v/>
      </c>
      <c r="H85" s="10" t="n"/>
      <c r="I85" s="10" t="n"/>
      <c r="J85" s="10" t="n"/>
      <c r="K85" s="10" t="n"/>
      <c r="L85" s="9" t="n"/>
      <c r="M85" s="11" t="n"/>
      <c r="N85" s="11" t="n"/>
      <c r="O85" s="10" t="n"/>
    </row>
    <row r="86">
      <c r="A86" s="9" t="n"/>
      <c r="B86" s="10" t="n"/>
      <c r="C86" s="10" t="n"/>
      <c r="D86" s="9" t="n"/>
      <c r="E86" s="9" t="n"/>
      <c r="F86" s="9">
        <f>IF(AND(D86&lt;&gt;"",E86&lt;&gt;""),D86*E86,"")</f>
        <v/>
      </c>
      <c r="G86" s="9">
        <f>IF(F86="","",IF(F86&gt;=15,"High",IF(F86&gt;=8,"Medium","Low")))</f>
        <v/>
      </c>
      <c r="H86" s="10" t="n"/>
      <c r="I86" s="10" t="n"/>
      <c r="J86" s="10" t="n"/>
      <c r="K86" s="10" t="n"/>
      <c r="L86" s="9" t="n"/>
      <c r="M86" s="11" t="n"/>
      <c r="N86" s="11" t="n"/>
      <c r="O86" s="10" t="n"/>
    </row>
    <row r="87">
      <c r="A87" s="9" t="n"/>
      <c r="B87" s="10" t="n"/>
      <c r="C87" s="10" t="n"/>
      <c r="D87" s="9" t="n"/>
      <c r="E87" s="9" t="n"/>
      <c r="F87" s="9">
        <f>IF(AND(D87&lt;&gt;"",E87&lt;&gt;""),D87*E87,"")</f>
        <v/>
      </c>
      <c r="G87" s="9">
        <f>IF(F87="","",IF(F87&gt;=15,"High",IF(F87&gt;=8,"Medium","Low")))</f>
        <v/>
      </c>
      <c r="H87" s="10" t="n"/>
      <c r="I87" s="10" t="n"/>
      <c r="J87" s="10" t="n"/>
      <c r="K87" s="10" t="n"/>
      <c r="L87" s="9" t="n"/>
      <c r="M87" s="11" t="n"/>
      <c r="N87" s="11" t="n"/>
      <c r="O87" s="10" t="n"/>
    </row>
    <row r="88">
      <c r="A88" s="9" t="n"/>
      <c r="B88" s="10" t="n"/>
      <c r="C88" s="10" t="n"/>
      <c r="D88" s="9" t="n"/>
      <c r="E88" s="9" t="n"/>
      <c r="F88" s="9">
        <f>IF(AND(D88&lt;&gt;"",E88&lt;&gt;""),D88*E88,"")</f>
        <v/>
      </c>
      <c r="G88" s="9">
        <f>IF(F88="","",IF(F88&gt;=15,"High",IF(F88&gt;=8,"Medium","Low")))</f>
        <v/>
      </c>
      <c r="H88" s="10" t="n"/>
      <c r="I88" s="10" t="n"/>
      <c r="J88" s="10" t="n"/>
      <c r="K88" s="10" t="n"/>
      <c r="L88" s="9" t="n"/>
      <c r="M88" s="11" t="n"/>
      <c r="N88" s="11" t="n"/>
      <c r="O88" s="10" t="n"/>
    </row>
    <row r="89">
      <c r="A89" s="9" t="n"/>
      <c r="B89" s="10" t="n"/>
      <c r="C89" s="10" t="n"/>
      <c r="D89" s="9" t="n"/>
      <c r="E89" s="9" t="n"/>
      <c r="F89" s="9">
        <f>IF(AND(D89&lt;&gt;"",E89&lt;&gt;""),D89*E89,"")</f>
        <v/>
      </c>
      <c r="G89" s="9">
        <f>IF(F89="","",IF(F89&gt;=15,"High",IF(F89&gt;=8,"Medium","Low")))</f>
        <v/>
      </c>
      <c r="H89" s="10" t="n"/>
      <c r="I89" s="10" t="n"/>
      <c r="J89" s="10" t="n"/>
      <c r="K89" s="10" t="n"/>
      <c r="L89" s="9" t="n"/>
      <c r="M89" s="11" t="n"/>
      <c r="N89" s="11" t="n"/>
      <c r="O89" s="10" t="n"/>
    </row>
    <row r="90">
      <c r="A90" s="9" t="n"/>
      <c r="B90" s="10" t="n"/>
      <c r="C90" s="10" t="n"/>
      <c r="D90" s="9" t="n"/>
      <c r="E90" s="9" t="n"/>
      <c r="F90" s="9">
        <f>IF(AND(D90&lt;&gt;"",E90&lt;&gt;""),D90*E90,"")</f>
        <v/>
      </c>
      <c r="G90" s="9">
        <f>IF(F90="","",IF(F90&gt;=15,"High",IF(F90&gt;=8,"Medium","Low")))</f>
        <v/>
      </c>
      <c r="H90" s="10" t="n"/>
      <c r="I90" s="10" t="n"/>
      <c r="J90" s="10" t="n"/>
      <c r="K90" s="10" t="n"/>
      <c r="L90" s="9" t="n"/>
      <c r="M90" s="11" t="n"/>
      <c r="N90" s="11" t="n"/>
      <c r="O90" s="10" t="n"/>
    </row>
    <row r="91">
      <c r="A91" s="9" t="n"/>
      <c r="B91" s="10" t="n"/>
      <c r="C91" s="10" t="n"/>
      <c r="D91" s="9" t="n"/>
      <c r="E91" s="9" t="n"/>
      <c r="F91" s="9">
        <f>IF(AND(D91&lt;&gt;"",E91&lt;&gt;""),D91*E91,"")</f>
        <v/>
      </c>
      <c r="G91" s="9">
        <f>IF(F91="","",IF(F91&gt;=15,"High",IF(F91&gt;=8,"Medium","Low")))</f>
        <v/>
      </c>
      <c r="H91" s="10" t="n"/>
      <c r="I91" s="10" t="n"/>
      <c r="J91" s="10" t="n"/>
      <c r="K91" s="10" t="n"/>
      <c r="L91" s="9" t="n"/>
      <c r="M91" s="11" t="n"/>
      <c r="N91" s="11" t="n"/>
      <c r="O91" s="10" t="n"/>
    </row>
    <row r="92">
      <c r="A92" s="9" t="n"/>
      <c r="B92" s="10" t="n"/>
      <c r="C92" s="10" t="n"/>
      <c r="D92" s="9" t="n"/>
      <c r="E92" s="9" t="n"/>
      <c r="F92" s="9">
        <f>IF(AND(D92&lt;&gt;"",E92&lt;&gt;""),D92*E92,"")</f>
        <v/>
      </c>
      <c r="G92" s="9">
        <f>IF(F92="","",IF(F92&gt;=15,"High",IF(F92&gt;=8,"Medium","Low")))</f>
        <v/>
      </c>
      <c r="H92" s="10" t="n"/>
      <c r="I92" s="10" t="n"/>
      <c r="J92" s="10" t="n"/>
      <c r="K92" s="10" t="n"/>
      <c r="L92" s="9" t="n"/>
      <c r="M92" s="11" t="n"/>
      <c r="N92" s="11" t="n"/>
      <c r="O92" s="10" t="n"/>
    </row>
    <row r="93">
      <c r="A93" s="9" t="n"/>
      <c r="B93" s="10" t="n"/>
      <c r="C93" s="10" t="n"/>
      <c r="D93" s="9" t="n"/>
      <c r="E93" s="9" t="n"/>
      <c r="F93" s="9">
        <f>IF(AND(D93&lt;&gt;"",E93&lt;&gt;""),D93*E93,"")</f>
        <v/>
      </c>
      <c r="G93" s="9">
        <f>IF(F93="","",IF(F93&gt;=15,"High",IF(F93&gt;=8,"Medium","Low")))</f>
        <v/>
      </c>
      <c r="H93" s="10" t="n"/>
      <c r="I93" s="10" t="n"/>
      <c r="J93" s="10" t="n"/>
      <c r="K93" s="10" t="n"/>
      <c r="L93" s="9" t="n"/>
      <c r="M93" s="11" t="n"/>
      <c r="N93" s="11" t="n"/>
      <c r="O93" s="10" t="n"/>
    </row>
    <row r="94">
      <c r="A94" s="9" t="n"/>
      <c r="B94" s="10" t="n"/>
      <c r="C94" s="10" t="n"/>
      <c r="D94" s="9" t="n"/>
      <c r="E94" s="9" t="n"/>
      <c r="F94" s="9">
        <f>IF(AND(D94&lt;&gt;"",E94&lt;&gt;""),D94*E94,"")</f>
        <v/>
      </c>
      <c r="G94" s="9">
        <f>IF(F94="","",IF(F94&gt;=15,"High",IF(F94&gt;=8,"Medium","Low")))</f>
        <v/>
      </c>
      <c r="H94" s="10" t="n"/>
      <c r="I94" s="10" t="n"/>
      <c r="J94" s="10" t="n"/>
      <c r="K94" s="10" t="n"/>
      <c r="L94" s="9" t="n"/>
      <c r="M94" s="11" t="n"/>
      <c r="N94" s="11" t="n"/>
      <c r="O94" s="10" t="n"/>
    </row>
    <row r="95">
      <c r="A95" s="9" t="n"/>
      <c r="B95" s="10" t="n"/>
      <c r="C95" s="10" t="n"/>
      <c r="D95" s="9" t="n"/>
      <c r="E95" s="9" t="n"/>
      <c r="F95" s="9">
        <f>IF(AND(D95&lt;&gt;"",E95&lt;&gt;""),D95*E95,"")</f>
        <v/>
      </c>
      <c r="G95" s="9">
        <f>IF(F95="","",IF(F95&gt;=15,"High",IF(F95&gt;=8,"Medium","Low")))</f>
        <v/>
      </c>
      <c r="H95" s="10" t="n"/>
      <c r="I95" s="10" t="n"/>
      <c r="J95" s="10" t="n"/>
      <c r="K95" s="10" t="n"/>
      <c r="L95" s="9" t="n"/>
      <c r="M95" s="11" t="n"/>
      <c r="N95" s="11" t="n"/>
      <c r="O95" s="10" t="n"/>
    </row>
    <row r="96">
      <c r="A96" s="9" t="n"/>
      <c r="B96" s="10" t="n"/>
      <c r="C96" s="10" t="n"/>
      <c r="D96" s="9" t="n"/>
      <c r="E96" s="9" t="n"/>
      <c r="F96" s="9">
        <f>IF(AND(D96&lt;&gt;"",E96&lt;&gt;""),D96*E96,"")</f>
        <v/>
      </c>
      <c r="G96" s="9">
        <f>IF(F96="","",IF(F96&gt;=15,"High",IF(F96&gt;=8,"Medium","Low")))</f>
        <v/>
      </c>
      <c r="H96" s="10" t="n"/>
      <c r="I96" s="10" t="n"/>
      <c r="J96" s="10" t="n"/>
      <c r="K96" s="10" t="n"/>
      <c r="L96" s="9" t="n"/>
      <c r="M96" s="11" t="n"/>
      <c r="N96" s="11" t="n"/>
      <c r="O96" s="10" t="n"/>
    </row>
    <row r="97">
      <c r="A97" s="9" t="n"/>
      <c r="B97" s="10" t="n"/>
      <c r="C97" s="10" t="n"/>
      <c r="D97" s="9" t="n"/>
      <c r="E97" s="9" t="n"/>
      <c r="F97" s="9">
        <f>IF(AND(D97&lt;&gt;"",E97&lt;&gt;""),D97*E97,"")</f>
        <v/>
      </c>
      <c r="G97" s="9">
        <f>IF(F97="","",IF(F97&gt;=15,"High",IF(F97&gt;=8,"Medium","Low")))</f>
        <v/>
      </c>
      <c r="H97" s="10" t="n"/>
      <c r="I97" s="10" t="n"/>
      <c r="J97" s="10" t="n"/>
      <c r="K97" s="10" t="n"/>
      <c r="L97" s="9" t="n"/>
      <c r="M97" s="11" t="n"/>
      <c r="N97" s="11" t="n"/>
      <c r="O97" s="10" t="n"/>
    </row>
    <row r="98">
      <c r="A98" s="9" t="n"/>
      <c r="B98" s="10" t="n"/>
      <c r="C98" s="10" t="n"/>
      <c r="D98" s="9" t="n"/>
      <c r="E98" s="9" t="n"/>
      <c r="F98" s="9">
        <f>IF(AND(D98&lt;&gt;"",E98&lt;&gt;""),D98*E98,"")</f>
        <v/>
      </c>
      <c r="G98" s="9">
        <f>IF(F98="","",IF(F98&gt;=15,"High",IF(F98&gt;=8,"Medium","Low")))</f>
        <v/>
      </c>
      <c r="H98" s="10" t="n"/>
      <c r="I98" s="10" t="n"/>
      <c r="J98" s="10" t="n"/>
      <c r="K98" s="10" t="n"/>
      <c r="L98" s="9" t="n"/>
      <c r="M98" s="11" t="n"/>
      <c r="N98" s="11" t="n"/>
      <c r="O98" s="10" t="n"/>
    </row>
    <row r="99">
      <c r="A99" s="9" t="n"/>
      <c r="B99" s="10" t="n"/>
      <c r="C99" s="10" t="n"/>
      <c r="D99" s="9" t="n"/>
      <c r="E99" s="9" t="n"/>
      <c r="F99" s="9">
        <f>IF(AND(D99&lt;&gt;"",E99&lt;&gt;""),D99*E99,"")</f>
        <v/>
      </c>
      <c r="G99" s="9">
        <f>IF(F99="","",IF(F99&gt;=15,"High",IF(F99&gt;=8,"Medium","Low")))</f>
        <v/>
      </c>
      <c r="H99" s="10" t="n"/>
      <c r="I99" s="10" t="n"/>
      <c r="J99" s="10" t="n"/>
      <c r="K99" s="10" t="n"/>
      <c r="L99" s="9" t="n"/>
      <c r="M99" s="11" t="n"/>
      <c r="N99" s="11" t="n"/>
      <c r="O99" s="10" t="n"/>
    </row>
    <row r="100">
      <c r="A100" s="9" t="n"/>
      <c r="B100" s="10" t="n"/>
      <c r="C100" s="10" t="n"/>
      <c r="D100" s="9" t="n"/>
      <c r="E100" s="9" t="n"/>
      <c r="F100" s="9">
        <f>IF(AND(D100&lt;&gt;"",E100&lt;&gt;""),D100*E100,"")</f>
        <v/>
      </c>
      <c r="G100" s="9">
        <f>IF(F100="","",IF(F100&gt;=15,"High",IF(F100&gt;=8,"Medium","Low")))</f>
        <v/>
      </c>
      <c r="H100" s="10" t="n"/>
      <c r="I100" s="10" t="n"/>
      <c r="J100" s="10" t="n"/>
      <c r="K100" s="10" t="n"/>
      <c r="L100" s="9" t="n"/>
      <c r="M100" s="11" t="n"/>
      <c r="N100" s="11" t="n"/>
      <c r="O100" s="10" t="n"/>
    </row>
    <row r="101">
      <c r="A101" s="9" t="n"/>
      <c r="B101" s="10" t="n"/>
      <c r="C101" s="10" t="n"/>
      <c r="D101" s="9" t="n"/>
      <c r="E101" s="9" t="n"/>
      <c r="F101" s="9">
        <f>IF(AND(D101&lt;&gt;"",E101&lt;&gt;""),D101*E101,"")</f>
        <v/>
      </c>
      <c r="G101" s="9">
        <f>IF(F101="","",IF(F101&gt;=15,"High",IF(F101&gt;=8,"Medium","Low")))</f>
        <v/>
      </c>
      <c r="H101" s="10" t="n"/>
      <c r="I101" s="10" t="n"/>
      <c r="J101" s="10" t="n"/>
      <c r="K101" s="10" t="n"/>
      <c r="L101" s="9" t="n"/>
      <c r="M101" s="11" t="n"/>
      <c r="N101" s="11" t="n"/>
      <c r="O101" s="10" t="n"/>
    </row>
    <row r="102">
      <c r="A102" s="9" t="n"/>
      <c r="B102" s="10" t="n"/>
      <c r="C102" s="10" t="n"/>
      <c r="D102" s="9" t="n"/>
      <c r="E102" s="9" t="n"/>
      <c r="F102" s="9">
        <f>IF(AND(D102&lt;&gt;"",E102&lt;&gt;""),D102*E102,"")</f>
        <v/>
      </c>
      <c r="G102" s="9">
        <f>IF(F102="","",IF(F102&gt;=15,"High",IF(F102&gt;=8,"Medium","Low")))</f>
        <v/>
      </c>
      <c r="H102" s="10" t="n"/>
      <c r="I102" s="10" t="n"/>
      <c r="J102" s="10" t="n"/>
      <c r="K102" s="10" t="n"/>
      <c r="L102" s="9" t="n"/>
      <c r="M102" s="11" t="n"/>
      <c r="N102" s="11" t="n"/>
      <c r="O102" s="10" t="n"/>
    </row>
    <row r="103">
      <c r="A103" s="9" t="n"/>
      <c r="B103" s="10" t="n"/>
      <c r="C103" s="10" t="n"/>
      <c r="D103" s="9" t="n"/>
      <c r="E103" s="9" t="n"/>
      <c r="F103" s="9">
        <f>IF(AND(D103&lt;&gt;"",E103&lt;&gt;""),D103*E103,"")</f>
        <v/>
      </c>
      <c r="G103" s="9">
        <f>IF(F103="","",IF(F103&gt;=15,"High",IF(F103&gt;=8,"Medium","Low")))</f>
        <v/>
      </c>
      <c r="H103" s="10" t="n"/>
      <c r="I103" s="10" t="n"/>
      <c r="J103" s="10" t="n"/>
      <c r="K103" s="10" t="n"/>
      <c r="L103" s="9" t="n"/>
      <c r="M103" s="11" t="n"/>
      <c r="N103" s="11" t="n"/>
      <c r="O103" s="10" t="n"/>
    </row>
    <row r="104">
      <c r="A104" s="9" t="n"/>
      <c r="B104" s="10" t="n"/>
      <c r="C104" s="10" t="n"/>
      <c r="D104" s="9" t="n"/>
      <c r="E104" s="9" t="n"/>
      <c r="F104" s="9">
        <f>IF(AND(D104&lt;&gt;"",E104&lt;&gt;""),D104*E104,"")</f>
        <v/>
      </c>
      <c r="G104" s="9">
        <f>IF(F104="","",IF(F104&gt;=15,"High",IF(F104&gt;=8,"Medium","Low")))</f>
        <v/>
      </c>
      <c r="H104" s="10" t="n"/>
      <c r="I104" s="10" t="n"/>
      <c r="J104" s="10" t="n"/>
      <c r="K104" s="10" t="n"/>
      <c r="L104" s="9" t="n"/>
      <c r="M104" s="11" t="n"/>
      <c r="N104" s="11" t="n"/>
      <c r="O104" s="10" t="n"/>
    </row>
  </sheetData>
  <autoFilter ref="A4:O104"/>
  <conditionalFormatting sqref="F5:G104">
    <cfRule type="expression" priority="1" dxfId="0">
      <formula>AND(ISNUMBER($F5),$F5&gt;=15)</formula>
    </cfRule>
    <cfRule type="expression" priority="2" dxfId="1">
      <formula>AND(ISNUMBER($F5),$F5&gt;=8,$F5&lt;15)</formula>
    </cfRule>
    <cfRule type="expression" priority="3" dxfId="2">
      <formula>AND(ISNUMBER($F5),$F5&lt;8)</formula>
    </cfRule>
  </conditionalFormatting>
  <dataValidations count="3">
    <dataValidation sqref="C5:C104" showDropDown="0" showInputMessage="0" showErrorMessage="0" allowBlank="1" type="list">
      <formula1>"Schedule,Scope,Technical,Team,External / platform,Business / market,Live ops"</formula1>
    </dataValidation>
    <dataValidation sqref="L5:L104" showDropDown="0" showInputMessage="0" showErrorMessage="0" allowBlank="1" type="list">
      <formula1>"Open,Monitoring,Mitigating,Occurred,Closed"</formula1>
    </dataValidation>
    <dataValidation sqref="D5:E104" showDropDown="0" showInputMessage="0" showErrorMessage="1" allowBlank="1" errorTitle="1 to 5" error="Use a whole number from 1 (low) to 5 (high).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2" t="inlineStr">
        <is>
          <t>Risk heat map: number of open risks by probability and impact</t>
        </is>
      </c>
    </row>
    <row r="2">
      <c r="A2" s="7" t="inlineStr">
        <is>
          <t>Counts every risk on the register that is not Closed. Top-right cells are your priorities.</t>
        </is>
      </c>
    </row>
    <row r="4">
      <c r="A4" s="13" t="inlineStr">
        <is>
          <t>Probability</t>
        </is>
      </c>
    </row>
    <row r="5" ht="30" customHeight="1">
      <c r="B5" s="14" t="n">
        <v>5</v>
      </c>
      <c r="C5" s="15">
        <f>COUNTIFS('Risk register'!$D$5:$D$104,5,'Risk register'!$E$5:$E$104,1,'Risk register'!$L$5:$L$104,"&lt;&gt;Closed")</f>
        <v/>
      </c>
      <c r="D5" s="16">
        <f>COUNTIFS('Risk register'!$D$5:$D$104,5,'Risk register'!$E$5:$E$104,2,'Risk register'!$L$5:$L$104,"&lt;&gt;Closed")</f>
        <v/>
      </c>
      <c r="E5" s="17">
        <f>COUNTIFS('Risk register'!$D$5:$D$104,5,'Risk register'!$E$5:$E$104,3,'Risk register'!$L$5:$L$104,"&lt;&gt;Closed")</f>
        <v/>
      </c>
      <c r="F5" s="17">
        <f>COUNTIFS('Risk register'!$D$5:$D$104,5,'Risk register'!$E$5:$E$104,4,'Risk register'!$L$5:$L$104,"&lt;&gt;Closed")</f>
        <v/>
      </c>
      <c r="G5" s="17">
        <f>COUNTIFS('Risk register'!$D$5:$D$104,5,'Risk register'!$E$5:$E$104,5,'Risk register'!$L$5:$L$104,"&lt;&gt;Closed")</f>
        <v/>
      </c>
    </row>
    <row r="6" ht="30" customHeight="1">
      <c r="B6" s="14" t="n">
        <v>4</v>
      </c>
      <c r="C6" s="15">
        <f>COUNTIFS('Risk register'!$D$5:$D$104,4,'Risk register'!$E$5:$E$104,1,'Risk register'!$L$5:$L$104,"&lt;&gt;Closed")</f>
        <v/>
      </c>
      <c r="D6" s="16">
        <f>COUNTIFS('Risk register'!$D$5:$D$104,4,'Risk register'!$E$5:$E$104,2,'Risk register'!$L$5:$L$104,"&lt;&gt;Closed")</f>
        <v/>
      </c>
      <c r="E6" s="16">
        <f>COUNTIFS('Risk register'!$D$5:$D$104,4,'Risk register'!$E$5:$E$104,3,'Risk register'!$L$5:$L$104,"&lt;&gt;Closed")</f>
        <v/>
      </c>
      <c r="F6" s="17">
        <f>COUNTIFS('Risk register'!$D$5:$D$104,4,'Risk register'!$E$5:$E$104,4,'Risk register'!$L$5:$L$104,"&lt;&gt;Closed")</f>
        <v/>
      </c>
      <c r="G6" s="17">
        <f>COUNTIFS('Risk register'!$D$5:$D$104,4,'Risk register'!$E$5:$E$104,5,'Risk register'!$L$5:$L$104,"&lt;&gt;Closed")</f>
        <v/>
      </c>
    </row>
    <row r="7" ht="30" customHeight="1">
      <c r="B7" s="14" t="n">
        <v>3</v>
      </c>
      <c r="C7" s="15">
        <f>COUNTIFS('Risk register'!$D$5:$D$104,3,'Risk register'!$E$5:$E$104,1,'Risk register'!$L$5:$L$104,"&lt;&gt;Closed")</f>
        <v/>
      </c>
      <c r="D7" s="15">
        <f>COUNTIFS('Risk register'!$D$5:$D$104,3,'Risk register'!$E$5:$E$104,2,'Risk register'!$L$5:$L$104,"&lt;&gt;Closed")</f>
        <v/>
      </c>
      <c r="E7" s="16">
        <f>COUNTIFS('Risk register'!$D$5:$D$104,3,'Risk register'!$E$5:$E$104,3,'Risk register'!$L$5:$L$104,"&lt;&gt;Closed")</f>
        <v/>
      </c>
      <c r="F7" s="16">
        <f>COUNTIFS('Risk register'!$D$5:$D$104,3,'Risk register'!$E$5:$E$104,4,'Risk register'!$L$5:$L$104,"&lt;&gt;Closed")</f>
        <v/>
      </c>
      <c r="G7" s="17">
        <f>COUNTIFS('Risk register'!$D$5:$D$104,3,'Risk register'!$E$5:$E$104,5,'Risk register'!$L$5:$L$104,"&lt;&gt;Closed")</f>
        <v/>
      </c>
    </row>
    <row r="8" ht="30" customHeight="1">
      <c r="B8" s="14" t="n">
        <v>2</v>
      </c>
      <c r="C8" s="15">
        <f>COUNTIFS('Risk register'!$D$5:$D$104,2,'Risk register'!$E$5:$E$104,1,'Risk register'!$L$5:$L$104,"&lt;&gt;Closed")</f>
        <v/>
      </c>
      <c r="D8" s="15">
        <f>COUNTIFS('Risk register'!$D$5:$D$104,2,'Risk register'!$E$5:$E$104,2,'Risk register'!$L$5:$L$104,"&lt;&gt;Closed")</f>
        <v/>
      </c>
      <c r="E8" s="15">
        <f>COUNTIFS('Risk register'!$D$5:$D$104,2,'Risk register'!$E$5:$E$104,3,'Risk register'!$L$5:$L$104,"&lt;&gt;Closed")</f>
        <v/>
      </c>
      <c r="F8" s="16">
        <f>COUNTIFS('Risk register'!$D$5:$D$104,2,'Risk register'!$E$5:$E$104,4,'Risk register'!$L$5:$L$104,"&lt;&gt;Closed")</f>
        <v/>
      </c>
      <c r="G8" s="16">
        <f>COUNTIFS('Risk register'!$D$5:$D$104,2,'Risk register'!$E$5:$E$104,5,'Risk register'!$L$5:$L$104,"&lt;&gt;Closed")</f>
        <v/>
      </c>
    </row>
    <row r="9" ht="30" customHeight="1">
      <c r="B9" s="14" t="n">
        <v>1</v>
      </c>
      <c r="C9" s="15">
        <f>COUNTIFS('Risk register'!$D$5:$D$104,1,'Risk register'!$E$5:$E$104,1,'Risk register'!$L$5:$L$104,"&lt;&gt;Closed")</f>
        <v/>
      </c>
      <c r="D9" s="15">
        <f>COUNTIFS('Risk register'!$D$5:$D$104,1,'Risk register'!$E$5:$E$104,2,'Risk register'!$L$5:$L$104,"&lt;&gt;Closed")</f>
        <v/>
      </c>
      <c r="E9" s="15">
        <f>COUNTIFS('Risk register'!$D$5:$D$104,1,'Risk register'!$E$5:$E$104,3,'Risk register'!$L$5:$L$104,"&lt;&gt;Closed")</f>
        <v/>
      </c>
      <c r="F9" s="15">
        <f>COUNTIFS('Risk register'!$D$5:$D$104,1,'Risk register'!$E$5:$E$104,4,'Risk register'!$L$5:$L$104,"&lt;&gt;Closed")</f>
        <v/>
      </c>
      <c r="G9" s="15">
        <f>COUNTIFS('Risk register'!$D$5:$D$104,1,'Risk register'!$E$5:$E$104,5,'Risk register'!$L$5:$L$104,"&lt;&gt;Closed")</f>
        <v/>
      </c>
    </row>
    <row r="10">
      <c r="C10" s="14" t="n">
        <v>1</v>
      </c>
      <c r="D10" s="14" t="n">
        <v>2</v>
      </c>
      <c r="E10" s="14" t="n">
        <v>3</v>
      </c>
      <c r="F10" s="14" t="n">
        <v>4</v>
      </c>
      <c r="G10" s="14" t="n">
        <v>5</v>
      </c>
    </row>
    <row r="11">
      <c r="B11" s="13" t="inlineStr">
        <is>
          <t>Impact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GameDevProducer.com</dc:creator>
  <dc:title xmlns:dc="http://purl.org/dc/elements/1.1/">Game Development Risk Register</dc:title>
  <dcterms:created xmlns:dcterms="http://purl.org/dc/terms/" xmlns:xsi="http://www.w3.org/2001/XMLSchema-instance" xsi:type="dcterms:W3CDTF">2026-10-06T19:09:32Z</dcterms:created>
  <dcterms:modified xmlns:dcterms="http://purl.org/dc/terms/" xmlns:xsi="http://www.w3.org/2001/XMLSchema-instance" xsi:type="dcterms:W3CDTF">2026-10-06T19:09:32Z</dcterms:modified>
</cp:coreProperties>
</file>